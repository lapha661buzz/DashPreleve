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bou NDIONE\Downloads\Fin campus\"/>
    </mc:Choice>
  </mc:AlternateContent>
  <bookViews>
    <workbookView xWindow="0" yWindow="0" windowWidth="19200" windowHeight="8130" activeTab="1"/>
  </bookViews>
  <sheets>
    <sheet name="Vu détail" sheetId="1" r:id="rId1"/>
    <sheet name="Vu consolidé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C3" i="2"/>
</calcChain>
</file>

<file path=xl/sharedStrings.xml><?xml version="1.0" encoding="utf-8"?>
<sst xmlns="http://schemas.openxmlformats.org/spreadsheetml/2006/main" count="65" uniqueCount="45">
  <si>
    <t>ID Contrat</t>
  </si>
  <si>
    <t>ID Client</t>
  </si>
  <si>
    <t>DAO</t>
  </si>
  <si>
    <t>Montant non prélevé</t>
  </si>
  <si>
    <t>Type de revenu</t>
  </si>
  <si>
    <t>Solde du compte</t>
  </si>
  <si>
    <t>Date d'identification</t>
  </si>
  <si>
    <t>Intérêt</t>
  </si>
  <si>
    <t>Indicateur</t>
  </si>
  <si>
    <t>Base Live</t>
  </si>
  <si>
    <t>Base Test</t>
  </si>
  <si>
    <t>Résultat</t>
  </si>
  <si>
    <t>Revenus analysés</t>
  </si>
  <si>
    <t>Périmètre comparable</t>
  </si>
  <si>
    <t>Écarts de revenus détectés</t>
  </si>
  <si>
    <t>0 / suivi manuel</t>
  </si>
  <si>
    <t>Meilleure visibilité</t>
  </si>
  <si>
    <t>Revenus non prélevés identifiés</t>
  </si>
  <si>
    <t>Non mesurés</t>
  </si>
  <si>
    <t>Montant potentiel sécurisé</t>
  </si>
  <si>
    <t>Dont pénalités de liquidation anticipée</t>
  </si>
  <si>
    <t>—</t>
  </si>
  <si>
    <t>Écart identifié</t>
  </si>
  <si>
    <t>Dont intérêts</t>
  </si>
  <si>
    <t>Délai de détection</t>
  </si>
  <si>
    <t>X jours</t>
  </si>
  <si>
    <t>J+1 / X jours</t>
  </si>
  <si>
    <t>Détection plus rapide</t>
  </si>
  <si>
    <t>Anomalies confirmées par Finance</t>
  </si>
  <si>
    <t>J+1</t>
  </si>
  <si>
    <r>
      <t>Taux de confirmation : 50</t>
    </r>
    <r>
      <rPr>
        <b/>
        <sz val="11"/>
        <color theme="1"/>
        <rFont val="Calibri"/>
        <family val="2"/>
        <scheme val="minor"/>
      </rPr>
      <t xml:space="preserve"> %</t>
    </r>
  </si>
  <si>
    <t>Pays</t>
  </si>
  <si>
    <t>Numero de compte</t>
  </si>
  <si>
    <t>Madagascar</t>
  </si>
  <si>
    <t>LD2607709956</t>
  </si>
  <si>
    <t>LD2517065551</t>
  </si>
  <si>
    <t>LD2511958272</t>
  </si>
  <si>
    <t>LD2527381999</t>
  </si>
  <si>
    <t>LD2527382088</t>
  </si>
  <si>
    <t>Pénalité de rupture par anticipation</t>
  </si>
  <si>
    <t>LD2432637294</t>
  </si>
  <si>
    <t>LD2529084757</t>
  </si>
  <si>
    <t>LD2406800533</t>
  </si>
  <si>
    <t>LD2420420410</t>
  </si>
  <si>
    <t>LD2502145315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</si>
</sst>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\ _€_-;\-* #,##0\ _€_-;_-* &quot;-&quot;\ _€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" fontId="0" fillId="0" borderId="1" xfId="0" applyNumberFormat="1" applyBorder="1"/>
    <xf numFmtId="1" fontId="0" fillId="0" borderId="0" xfId="0" applyNumberFormat="1"/>
    <xf numFmtId="0" fontId="3" fillId="0" borderId="1" xfId="0" applyFont="1" applyBorder="1"/>
    <xf numFmtId="41" fontId="0" fillId="0" borderId="1" xfId="1" applyFont="1" applyBorder="1"/>
    <xf numFmtId="41" fontId="1" fillId="0" borderId="1" xfId="0" applyNumberFormat="1" applyFont="1" applyBorder="1" applyAlignment="1">
      <alignment horizontal="left" vertical="center" wrapText="1"/>
    </xf>
    <xf numFmtId="0" fontId="0" fillId="0" borderId="1" xfId="0" applyFont="1" applyBorder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H2" sqref="H2:H3"/>
    </sheetView>
  </sheetViews>
  <sheetFormatPr baseColWidth="10" defaultRowHeight="14.5" x14ac:dyDescent="0.35"/>
  <cols>
    <col min="2" max="2" width="21.453125" customWidth="1"/>
    <col min="3" max="3" width="13.81640625" style="11" bestFit="1" customWidth="1"/>
    <col min="5" max="5" width="8" customWidth="1"/>
    <col min="6" max="6" width="27.08984375" customWidth="1"/>
    <col min="7" max="7" width="14.7265625" bestFit="1" customWidth="1"/>
    <col min="8" max="8" width="17.1796875" customWidth="1"/>
    <col min="9" max="9" width="17.7265625" bestFit="1" customWidth="1"/>
  </cols>
  <sheetData>
    <row r="1" spans="1:9" x14ac:dyDescent="0.35">
      <c r="A1" s="1" t="s">
        <v>31</v>
      </c>
      <c r="B1" s="1" t="s">
        <v>0</v>
      </c>
      <c r="C1" s="10" t="s">
        <v>32</v>
      </c>
      <c r="D1" s="1" t="s">
        <v>1</v>
      </c>
      <c r="E1" s="1" t="s">
        <v>2</v>
      </c>
      <c r="F1" s="1" t="s">
        <v>4</v>
      </c>
      <c r="G1" s="1" t="s">
        <v>5</v>
      </c>
      <c r="H1" s="1" t="s">
        <v>3</v>
      </c>
      <c r="I1" s="1" t="s">
        <v>6</v>
      </c>
    </row>
    <row r="2" spans="1:9" x14ac:dyDescent="0.35">
      <c r="A2" s="1" t="s">
        <v>33</v>
      </c>
      <c r="B2" s="1" t="s">
        <v>34</v>
      </c>
      <c r="C2" s="10">
        <v>9123867887511</v>
      </c>
      <c r="D2" s="1">
        <v>2386788</v>
      </c>
      <c r="E2" s="12">
        <v>15</v>
      </c>
      <c r="F2" s="15" t="s">
        <v>7</v>
      </c>
      <c r="G2" s="1">
        <v>210000</v>
      </c>
      <c r="H2" s="13">
        <v>152445</v>
      </c>
      <c r="I2" s="2">
        <v>46286</v>
      </c>
    </row>
    <row r="3" spans="1:9" x14ac:dyDescent="0.35">
      <c r="A3" s="1" t="s">
        <v>33</v>
      </c>
      <c r="B3" s="1" t="s">
        <v>35</v>
      </c>
      <c r="C3" s="10">
        <v>4523644737310</v>
      </c>
      <c r="D3" s="1">
        <v>2364473</v>
      </c>
      <c r="E3" s="12">
        <v>45</v>
      </c>
      <c r="F3" s="15" t="s">
        <v>7</v>
      </c>
      <c r="G3" s="1">
        <v>93555</v>
      </c>
      <c r="H3" s="13">
        <v>133440</v>
      </c>
      <c r="I3" s="2">
        <v>46286</v>
      </c>
    </row>
    <row r="4" spans="1:9" x14ac:dyDescent="0.35">
      <c r="A4" s="1" t="s">
        <v>33</v>
      </c>
      <c r="B4" s="1" t="s">
        <v>36</v>
      </c>
      <c r="C4" s="10">
        <v>3101757477318</v>
      </c>
      <c r="D4" s="1">
        <v>175747</v>
      </c>
      <c r="E4" s="12">
        <v>31</v>
      </c>
      <c r="F4" s="15" t="s">
        <v>39</v>
      </c>
      <c r="G4" s="1">
        <v>1688249</v>
      </c>
      <c r="H4" s="13">
        <v>149060</v>
      </c>
      <c r="I4" s="2">
        <v>46286</v>
      </c>
    </row>
    <row r="5" spans="1:9" x14ac:dyDescent="0.35">
      <c r="A5" s="1" t="s">
        <v>33</v>
      </c>
      <c r="B5" s="1" t="s">
        <v>37</v>
      </c>
      <c r="C5" s="10">
        <v>2421459077310</v>
      </c>
      <c r="D5" s="1">
        <v>2145907</v>
      </c>
      <c r="E5" s="12">
        <v>24</v>
      </c>
      <c r="F5" s="15" t="s">
        <v>39</v>
      </c>
      <c r="G5" s="1">
        <v>14990500</v>
      </c>
      <c r="H5" s="13">
        <v>1026160</v>
      </c>
      <c r="I5" s="2">
        <v>46286</v>
      </c>
    </row>
    <row r="6" spans="1:9" x14ac:dyDescent="0.35">
      <c r="A6" s="1" t="s">
        <v>33</v>
      </c>
      <c r="B6" s="1" t="s">
        <v>38</v>
      </c>
      <c r="C6" s="10">
        <v>1224779447311</v>
      </c>
      <c r="D6" s="1">
        <v>2477944</v>
      </c>
      <c r="E6" s="12">
        <v>12</v>
      </c>
      <c r="F6" s="15" t="s">
        <v>39</v>
      </c>
      <c r="G6" s="1">
        <v>751120</v>
      </c>
      <c r="H6" s="13">
        <v>1560560</v>
      </c>
      <c r="I6" s="2">
        <v>46286</v>
      </c>
    </row>
    <row r="7" spans="1:9" x14ac:dyDescent="0.35">
      <c r="A7" s="1" t="s">
        <v>33</v>
      </c>
      <c r="B7" s="1" t="s">
        <v>40</v>
      </c>
      <c r="C7" s="10">
        <v>4123954577315</v>
      </c>
      <c r="D7" s="1">
        <v>2395457</v>
      </c>
      <c r="E7" s="12">
        <v>41</v>
      </c>
      <c r="F7" s="15" t="s">
        <v>39</v>
      </c>
      <c r="G7" s="1">
        <v>130000</v>
      </c>
      <c r="H7" s="13">
        <v>23400</v>
      </c>
      <c r="I7" s="2">
        <v>46286</v>
      </c>
    </row>
    <row r="8" spans="1:9" x14ac:dyDescent="0.35">
      <c r="A8" s="1" t="s">
        <v>33</v>
      </c>
      <c r="B8" s="1" t="s">
        <v>41</v>
      </c>
      <c r="C8" s="10">
        <v>3723464027315</v>
      </c>
      <c r="D8" s="1">
        <v>2346402</v>
      </c>
      <c r="E8" s="12">
        <v>37</v>
      </c>
      <c r="F8" s="15" t="s">
        <v>39</v>
      </c>
      <c r="G8" s="1">
        <v>8702450</v>
      </c>
      <c r="H8" s="13">
        <v>372730</v>
      </c>
      <c r="I8" s="2">
        <v>46286</v>
      </c>
    </row>
    <row r="9" spans="1:9" x14ac:dyDescent="0.35">
      <c r="A9" s="1" t="s">
        <v>33</v>
      </c>
      <c r="B9" s="1" t="s">
        <v>42</v>
      </c>
      <c r="C9" s="10">
        <v>4422555437311</v>
      </c>
      <c r="D9" s="1">
        <v>2255543</v>
      </c>
      <c r="E9" s="12">
        <v>44</v>
      </c>
      <c r="F9" s="15" t="s">
        <v>39</v>
      </c>
      <c r="G9" s="1">
        <v>2734597</v>
      </c>
      <c r="H9" s="13">
        <v>42493</v>
      </c>
      <c r="I9" s="2">
        <v>46286</v>
      </c>
    </row>
    <row r="10" spans="1:9" x14ac:dyDescent="0.35">
      <c r="A10" s="1" t="s">
        <v>33</v>
      </c>
      <c r="B10" s="1" t="s">
        <v>43</v>
      </c>
      <c r="C10" s="10">
        <v>3424250247318</v>
      </c>
      <c r="D10" s="1">
        <v>2425024</v>
      </c>
      <c r="E10" s="12">
        <v>34</v>
      </c>
      <c r="F10" s="15" t="s">
        <v>39</v>
      </c>
      <c r="G10" s="1">
        <v>188347</v>
      </c>
      <c r="H10" s="13">
        <v>228550</v>
      </c>
      <c r="I10" s="2">
        <v>46286</v>
      </c>
    </row>
    <row r="11" spans="1:9" x14ac:dyDescent="0.35">
      <c r="A11" s="1" t="s">
        <v>33</v>
      </c>
      <c r="B11" s="1" t="s">
        <v>44</v>
      </c>
      <c r="C11" s="10">
        <v>3522108697314</v>
      </c>
      <c r="D11" s="1">
        <v>2210869</v>
      </c>
      <c r="E11" s="12">
        <v>39</v>
      </c>
      <c r="F11" s="15" t="s">
        <v>39</v>
      </c>
      <c r="G11" s="1">
        <v>79711593</v>
      </c>
      <c r="H11" s="13">
        <v>1954930</v>
      </c>
      <c r="I11" s="2">
        <v>46286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A15" sqref="A15"/>
    </sheetView>
  </sheetViews>
  <sheetFormatPr baseColWidth="10" defaultRowHeight="14.5" x14ac:dyDescent="0.35"/>
  <cols>
    <col min="1" max="1" width="32.90625" customWidth="1"/>
    <col min="2" max="2" width="19.54296875" style="6" customWidth="1"/>
    <col min="3" max="3" width="18.36328125" style="6" customWidth="1"/>
    <col min="4" max="4" width="25.08984375" customWidth="1"/>
  </cols>
  <sheetData>
    <row r="1" spans="1:4" x14ac:dyDescent="0.35">
      <c r="A1" s="8" t="s">
        <v>8</v>
      </c>
      <c r="B1" s="9" t="s">
        <v>9</v>
      </c>
      <c r="C1" s="9" t="s">
        <v>10</v>
      </c>
      <c r="D1" s="8" t="s">
        <v>11</v>
      </c>
    </row>
    <row r="2" spans="1:4" x14ac:dyDescent="0.35">
      <c r="A2" s="3" t="s">
        <v>12</v>
      </c>
      <c r="B2" s="5">
        <v>1</v>
      </c>
      <c r="C2" s="5">
        <v>1</v>
      </c>
      <c r="D2" s="3" t="s">
        <v>13</v>
      </c>
    </row>
    <row r="3" spans="1:4" x14ac:dyDescent="0.35">
      <c r="A3" s="3" t="s">
        <v>14</v>
      </c>
      <c r="B3" s="7" t="s">
        <v>15</v>
      </c>
      <c r="C3" s="14">
        <f>COUNT('Vu détail'!D2:D11)</f>
        <v>10</v>
      </c>
      <c r="D3" s="3" t="s">
        <v>16</v>
      </c>
    </row>
    <row r="4" spans="1:4" x14ac:dyDescent="0.35">
      <c r="A4" s="3" t="s">
        <v>17</v>
      </c>
      <c r="B4" s="7" t="s">
        <v>18</v>
      </c>
      <c r="C4" s="14">
        <f>SUM('Vu détail'!H2:H11)</f>
        <v>5643768</v>
      </c>
      <c r="D4" s="3" t="s">
        <v>19</v>
      </c>
    </row>
    <row r="5" spans="1:4" ht="29" x14ac:dyDescent="0.35">
      <c r="A5" s="3" t="s">
        <v>20</v>
      </c>
      <c r="B5" s="7" t="s">
        <v>21</v>
      </c>
      <c r="C5" s="14">
        <v>5357883</v>
      </c>
      <c r="D5" s="3" t="s">
        <v>22</v>
      </c>
    </row>
    <row r="6" spans="1:4" ht="19.5" customHeight="1" x14ac:dyDescent="0.35">
      <c r="A6" s="3" t="s">
        <v>23</v>
      </c>
      <c r="B6" s="7" t="s">
        <v>21</v>
      </c>
      <c r="C6" s="14">
        <v>285885</v>
      </c>
      <c r="D6" s="3" t="s">
        <v>22</v>
      </c>
    </row>
    <row r="7" spans="1:4" ht="23.5" customHeight="1" x14ac:dyDescent="0.35">
      <c r="A7" s="3" t="s">
        <v>24</v>
      </c>
      <c r="B7" s="4" t="s">
        <v>25</v>
      </c>
      <c r="C7" s="4" t="s">
        <v>26</v>
      </c>
      <c r="D7" s="3" t="s">
        <v>27</v>
      </c>
    </row>
    <row r="8" spans="1:4" x14ac:dyDescent="0.35">
      <c r="A8" s="3" t="s">
        <v>28</v>
      </c>
      <c r="B8" s="7" t="s">
        <v>21</v>
      </c>
      <c r="C8" s="4" t="s">
        <v>29</v>
      </c>
      <c r="D8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Vu détail</vt:lpstr>
      <vt:lpstr>Vu consolidé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Ibou NDIONE</dc:creator>
  <cp:lastModifiedBy>Ibou NDIONE</cp:lastModifiedBy>
  <dcterms:created xsi:type="dcterms:W3CDTF">2026-09-21T22:55:23Z</dcterms:created>
  <dcterms:modified xsi:type="dcterms:W3CDTF">2026-09-28T16:00:29Z</dcterms:modified>
</cp:coreProperties>
</file>