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lpha Amadou DIALLO\Downloads\plateforme_pertes_revenu (6)\plateforme_pertes_revenu\data\"/>
    </mc:Choice>
  </mc:AlternateContent>
  <bookViews>
    <workbookView xWindow="0" yWindow="0" windowWidth="10710" windowHeight="5010" activeTab="1"/>
  </bookViews>
  <sheets>
    <sheet name="Vu détail" sheetId="4" r:id="rId1"/>
    <sheet name="Vu consolidé" sheetId="2" r:id="rId2"/>
  </sheets>
  <definedNames>
    <definedName name="_xlnm._FilterDatabase" localSheetId="0" hidden="1">'Vu détail'!$A$1:$I$139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2" l="1"/>
  <c r="C7" i="2"/>
  <c r="C4" i="2"/>
  <c r="C3" i="2"/>
</calcChain>
</file>

<file path=xl/sharedStrings.xml><?xml version="1.0" encoding="utf-8"?>
<sst xmlns="http://schemas.openxmlformats.org/spreadsheetml/2006/main" count="455" uniqueCount="174">
  <si>
    <t>ID Contrat</t>
  </si>
  <si>
    <t>ID Client</t>
  </si>
  <si>
    <t>DAO</t>
  </si>
  <si>
    <t>Montant non prélevé</t>
  </si>
  <si>
    <t>Type de revenu</t>
  </si>
  <si>
    <t>Solde du compte</t>
  </si>
  <si>
    <t>Date d'identification</t>
  </si>
  <si>
    <t>Indicateur</t>
  </si>
  <si>
    <t>Base Live</t>
  </si>
  <si>
    <t>Base Test</t>
  </si>
  <si>
    <t>Résultat</t>
  </si>
  <si>
    <t>Revenus analysés</t>
  </si>
  <si>
    <t>Périmètre comparable</t>
  </si>
  <si>
    <t>Écarts de revenus détectés</t>
  </si>
  <si>
    <t>0 / suivi manuel</t>
  </si>
  <si>
    <t>Meilleure visibilité</t>
  </si>
  <si>
    <t>Revenus non prélevés identifiés</t>
  </si>
  <si>
    <t>Non mesurés</t>
  </si>
  <si>
    <t>Montant potentiel sécurisé</t>
  </si>
  <si>
    <t>Dont pénalités de liquidation anticipée</t>
  </si>
  <si>
    <t>—</t>
  </si>
  <si>
    <t>Écart identifié</t>
  </si>
  <si>
    <t>Délai de détection</t>
  </si>
  <si>
    <t>X jours</t>
  </si>
  <si>
    <t>J+1 / X jours</t>
  </si>
  <si>
    <t>Détection plus rapide</t>
  </si>
  <si>
    <t>Anomalies confirmées par Finance</t>
  </si>
  <si>
    <t>J+1</t>
  </si>
  <si>
    <t>Pays</t>
  </si>
  <si>
    <t>Numero de compte</t>
  </si>
  <si>
    <t>LD2604846676</t>
  </si>
  <si>
    <t>LD2604994688</t>
  </si>
  <si>
    <t>LD2613907387</t>
  </si>
  <si>
    <t>LD2615075545</t>
  </si>
  <si>
    <t>LD2619878002</t>
  </si>
  <si>
    <t>LD2621930062</t>
  </si>
  <si>
    <t>LD2622302862</t>
  </si>
  <si>
    <t>LD2622350830</t>
  </si>
  <si>
    <t>LD2622539094</t>
  </si>
  <si>
    <t>LD2622544816</t>
  </si>
  <si>
    <t>LD2622547034</t>
  </si>
  <si>
    <t>LD2622579124</t>
  </si>
  <si>
    <t>LD2622589468</t>
  </si>
  <si>
    <t>LD2622603888</t>
  </si>
  <si>
    <t>LD2622620245</t>
  </si>
  <si>
    <t>LD2622628030</t>
  </si>
  <si>
    <t>LD2622649868</t>
  </si>
  <si>
    <t>LD2622664177</t>
  </si>
  <si>
    <t>LD2622679701</t>
  </si>
  <si>
    <t>LD2622687563</t>
  </si>
  <si>
    <t>LD2622705038</t>
  </si>
  <si>
    <t>LD2622709719</t>
  </si>
  <si>
    <t>LD2622730842</t>
  </si>
  <si>
    <t>LD2622732248</t>
  </si>
  <si>
    <t>LD2622780187</t>
  </si>
  <si>
    <t>LD2622905000</t>
  </si>
  <si>
    <t>LD2622916646</t>
  </si>
  <si>
    <t>LD2622917740</t>
  </si>
  <si>
    <t>LD2622917908</t>
  </si>
  <si>
    <t>LD2622933620</t>
  </si>
  <si>
    <t>LD2622997090</t>
  </si>
  <si>
    <t>LD2623000056</t>
  </si>
  <si>
    <t>LD2623005030</t>
  </si>
  <si>
    <t>LD2623036167</t>
  </si>
  <si>
    <t>LD2623050094</t>
  </si>
  <si>
    <t>LD2623062608</t>
  </si>
  <si>
    <t>LD2623067483</t>
  </si>
  <si>
    <t>LD2623089193</t>
  </si>
  <si>
    <t>LD2623101184</t>
  </si>
  <si>
    <t>LD2623122282</t>
  </si>
  <si>
    <t>LD2623123903</t>
  </si>
  <si>
    <t>LD2623129110</t>
  </si>
  <si>
    <t>LD2623133382</t>
  </si>
  <si>
    <t>LD2623148780</t>
  </si>
  <si>
    <t>LD2623161741</t>
  </si>
  <si>
    <t>LD2623178198</t>
  </si>
  <si>
    <t>LD2623210376</t>
  </si>
  <si>
    <t>LD2623230907</t>
  </si>
  <si>
    <t>LD2623244040</t>
  </si>
  <si>
    <t>LD2623247608</t>
  </si>
  <si>
    <t>LD2623259276</t>
  </si>
  <si>
    <t>LD2623308951</t>
  </si>
  <si>
    <t>LD2623309058</t>
  </si>
  <si>
    <t>LD2623318000</t>
  </si>
  <si>
    <t>LD2623321140</t>
  </si>
  <si>
    <t>LD2623322649</t>
  </si>
  <si>
    <t>LD2623330106</t>
  </si>
  <si>
    <t>LD2623332712</t>
  </si>
  <si>
    <t>LD2623337433</t>
  </si>
  <si>
    <t>LD2623338126</t>
  </si>
  <si>
    <t>LD2623348165</t>
  </si>
  <si>
    <t>LD2623352062</t>
  </si>
  <si>
    <t>LD2623352810</t>
  </si>
  <si>
    <t>LD2623356505</t>
  </si>
  <si>
    <t>LD2623357254</t>
  </si>
  <si>
    <t>LD2623377065</t>
  </si>
  <si>
    <t>LD2623412104</t>
  </si>
  <si>
    <t>LD2623424407</t>
  </si>
  <si>
    <t>LD2623473040</t>
  </si>
  <si>
    <t>LD2623480800</t>
  </si>
  <si>
    <t>LD2623497037</t>
  </si>
  <si>
    <t>LD2623615715</t>
  </si>
  <si>
    <t>LD2623626244</t>
  </si>
  <si>
    <t>LD2623638007</t>
  </si>
  <si>
    <t>LD2623709088</t>
  </si>
  <si>
    <t>LD2623800199</t>
  </si>
  <si>
    <t>LD2623818520</t>
  </si>
  <si>
    <t>LD2623823904</t>
  </si>
  <si>
    <t>LD2623825240</t>
  </si>
  <si>
    <t>LD2623828066</t>
  </si>
  <si>
    <t>LD2623848623</t>
  </si>
  <si>
    <t>LD2623848769</t>
  </si>
  <si>
    <t>LD2623850028</t>
  </si>
  <si>
    <t>LD2623862508</t>
  </si>
  <si>
    <t>LD2623868470</t>
  </si>
  <si>
    <t>LD2623869289</t>
  </si>
  <si>
    <t>LD2623891859</t>
  </si>
  <si>
    <t>LD2623893549</t>
  </si>
  <si>
    <t>LD2623900357</t>
  </si>
  <si>
    <t>LD2623936087</t>
  </si>
  <si>
    <t>LD2623937298</t>
  </si>
  <si>
    <t>LD2623950505</t>
  </si>
  <si>
    <t>LD2623981988</t>
  </si>
  <si>
    <t>LD2623985703</t>
  </si>
  <si>
    <t>LD2623986803</t>
  </si>
  <si>
    <t>LD2623989040</t>
  </si>
  <si>
    <t>LD2624022156</t>
  </si>
  <si>
    <t>LD2624023640</t>
  </si>
  <si>
    <t>LD2624028663</t>
  </si>
  <si>
    <t>LD2624048995</t>
  </si>
  <si>
    <t>LD2624059597</t>
  </si>
  <si>
    <t>LD2624060351</t>
  </si>
  <si>
    <t>LD2624076570</t>
  </si>
  <si>
    <t>LD2624077125</t>
  </si>
  <si>
    <t>LD2624087951</t>
  </si>
  <si>
    <t>LD2624119789</t>
  </si>
  <si>
    <t>LD2624124554</t>
  </si>
  <si>
    <t>LD2624141073</t>
  </si>
  <si>
    <t>LD2624142504</t>
  </si>
  <si>
    <t>LD2624162009</t>
  </si>
  <si>
    <t>LD2624180665</t>
  </si>
  <si>
    <t>LD2624187653</t>
  </si>
  <si>
    <t>LD2624300567</t>
  </si>
  <si>
    <t>LD2624307205</t>
  </si>
  <si>
    <t>LD2624307691</t>
  </si>
  <si>
    <t>LD2624308430</t>
  </si>
  <si>
    <t>LD2624319714</t>
  </si>
  <si>
    <t>LD2624323030</t>
  </si>
  <si>
    <t>LD2624329769</t>
  </si>
  <si>
    <t>LD2624335002</t>
  </si>
  <si>
    <t>LD2624335903</t>
  </si>
  <si>
    <t>LD2624341062</t>
  </si>
  <si>
    <t>LD2624343204</t>
  </si>
  <si>
    <t>LD2624349185</t>
  </si>
  <si>
    <t>LD2624349868</t>
  </si>
  <si>
    <t>LD2624350150</t>
  </si>
  <si>
    <t>LD2624358205</t>
  </si>
  <si>
    <t>LD2624359225</t>
  </si>
  <si>
    <t>LD2624363835</t>
  </si>
  <si>
    <t>LD2624364808</t>
  </si>
  <si>
    <t>LD2624365479</t>
  </si>
  <si>
    <t>LD2624366305</t>
  </si>
  <si>
    <t>LD2624369994</t>
  </si>
  <si>
    <t>LD2624381963</t>
  </si>
  <si>
    <t>LD2624382262</t>
  </si>
  <si>
    <t>LD2624383453</t>
  </si>
  <si>
    <t>LD2624389903</t>
  </si>
  <si>
    <t>LD2624396220</t>
  </si>
  <si>
    <t>TAF sur Commission</t>
  </si>
  <si>
    <t>Commission sur Crédit</t>
  </si>
  <si>
    <t>Mali</t>
  </si>
  <si>
    <t>Dont Taf sur Commission</t>
  </si>
  <si>
    <t>Dont Commission</t>
  </si>
  <si>
    <r>
      <t>Taux de confirmation : 100</t>
    </r>
    <r>
      <rPr>
        <b/>
        <sz val="11"/>
        <color theme="1"/>
        <rFont val="Calibri"/>
        <family val="2"/>
        <scheme val="minor"/>
      </rPr>
      <t xml:space="preserve"> %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</si>
</sst>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\ _€_-;\-* #,##0.00\ _€_-;_-* &quot;-&quot;??\ _€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0" borderId="1" xfId="0" applyBorder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9" fontId="0" fillId="0" borderId="1" xfId="0" applyNumberForma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" fontId="0" fillId="0" borderId="1" xfId="0" applyNumberFormat="1" applyBorder="1"/>
    <xf numFmtId="1" fontId="0" fillId="0" borderId="0" xfId="0" applyNumberFormat="1"/>
    <xf numFmtId="0" fontId="0" fillId="0" borderId="2" xfId="0" applyBorder="1" applyAlignment="1">
      <alignment wrapText="1"/>
    </xf>
    <xf numFmtId="1" fontId="0" fillId="0" borderId="2" xfId="0" applyNumberFormat="1" applyBorder="1" applyAlignment="1">
      <alignment wrapText="1"/>
    </xf>
    <xf numFmtId="0" fontId="0" fillId="0" borderId="2" xfId="0" applyBorder="1" applyAlignment="1">
      <alignment horizontal="right" wrapText="1"/>
    </xf>
    <xf numFmtId="43" fontId="1" fillId="0" borderId="1" xfId="1" applyFont="1" applyBorder="1" applyAlignment="1">
      <alignment horizontal="left" vertical="center" wrapText="1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1"/>
  <sheetViews>
    <sheetView workbookViewId="0">
      <selection activeCell="E145" sqref="E145"/>
    </sheetView>
  </sheetViews>
  <sheetFormatPr baseColWidth="10" defaultRowHeight="14.5" x14ac:dyDescent="0.35"/>
  <cols>
    <col min="2" max="2" width="19.08984375" customWidth="1"/>
    <col min="3" max="3" width="17" style="11" bestFit="1" customWidth="1"/>
    <col min="6" max="6" width="19.6328125" bestFit="1" customWidth="1"/>
    <col min="7" max="7" width="14.7265625" bestFit="1" customWidth="1"/>
    <col min="8" max="8" width="18.54296875" bestFit="1" customWidth="1"/>
    <col min="9" max="9" width="21.26953125" customWidth="1"/>
  </cols>
  <sheetData>
    <row r="1" spans="1:9" ht="15" thickBot="1" x14ac:dyDescent="0.4">
      <c r="A1" s="1" t="s">
        <v>28</v>
      </c>
      <c r="B1" s="1" t="s">
        <v>0</v>
      </c>
      <c r="C1" s="10" t="s">
        <v>29</v>
      </c>
      <c r="D1" s="1" t="s">
        <v>1</v>
      </c>
      <c r="E1" s="1" t="s">
        <v>2</v>
      </c>
      <c r="F1" s="1" t="s">
        <v>4</v>
      </c>
      <c r="G1" s="1" t="s">
        <v>5</v>
      </c>
      <c r="H1" s="1" t="s">
        <v>3</v>
      </c>
      <c r="I1" s="1" t="s">
        <v>6</v>
      </c>
    </row>
    <row r="2" spans="1:9" ht="15" thickBot="1" x14ac:dyDescent="0.4">
      <c r="A2" s="1" t="s">
        <v>170</v>
      </c>
      <c r="B2" s="12" t="s">
        <v>30</v>
      </c>
      <c r="C2" s="13">
        <v>1702535327319</v>
      </c>
      <c r="D2" s="12">
        <v>253532</v>
      </c>
      <c r="E2" s="12">
        <v>1724</v>
      </c>
      <c r="F2" s="1" t="s">
        <v>168</v>
      </c>
      <c r="G2" s="14">
        <v>509283.82</v>
      </c>
      <c r="H2" s="14">
        <v>3463.1299760000002</v>
      </c>
      <c r="I2" s="2">
        <v>46287</v>
      </c>
    </row>
    <row r="3" spans="1:9" ht="15" thickBot="1" x14ac:dyDescent="0.4">
      <c r="A3" s="1" t="s">
        <v>170</v>
      </c>
      <c r="B3" s="12" t="s">
        <v>31</v>
      </c>
      <c r="C3" s="13">
        <v>1403309257317</v>
      </c>
      <c r="D3" s="12">
        <v>330925</v>
      </c>
      <c r="E3" s="12">
        <v>1424</v>
      </c>
      <c r="F3" s="1" t="s">
        <v>168</v>
      </c>
      <c r="G3" s="14">
        <v>1909814.32</v>
      </c>
      <c r="H3" s="14">
        <v>12986.73738</v>
      </c>
      <c r="I3" s="2">
        <v>46287</v>
      </c>
    </row>
    <row r="4" spans="1:9" ht="15" thickBot="1" x14ac:dyDescent="0.4">
      <c r="A4" s="1" t="s">
        <v>170</v>
      </c>
      <c r="B4" s="12" t="s">
        <v>32</v>
      </c>
      <c r="C4" s="13">
        <v>1103017427312</v>
      </c>
      <c r="D4" s="12">
        <v>301742</v>
      </c>
      <c r="E4" s="12">
        <v>1182</v>
      </c>
      <c r="F4" s="1" t="s">
        <v>168</v>
      </c>
      <c r="G4" s="14">
        <v>3053435.11</v>
      </c>
      <c r="H4" s="14">
        <v>20763.358749999999</v>
      </c>
      <c r="I4" s="2">
        <v>46287</v>
      </c>
    </row>
    <row r="5" spans="1:9" ht="15" thickBot="1" x14ac:dyDescent="0.4">
      <c r="A5" s="1" t="s">
        <v>170</v>
      </c>
      <c r="B5" s="12" t="s">
        <v>33</v>
      </c>
      <c r="C5" s="13">
        <v>1403438987311</v>
      </c>
      <c r="D5" s="12">
        <v>343898</v>
      </c>
      <c r="E5" s="12">
        <v>1423</v>
      </c>
      <c r="F5" s="1" t="s">
        <v>168</v>
      </c>
      <c r="G5" s="14">
        <v>5092838.2</v>
      </c>
      <c r="H5" s="14">
        <v>34631.299760000002</v>
      </c>
      <c r="I5" s="2">
        <v>46287</v>
      </c>
    </row>
    <row r="6" spans="1:9" ht="15" thickBot="1" x14ac:dyDescent="0.4">
      <c r="A6" s="1" t="s">
        <v>170</v>
      </c>
      <c r="B6" s="12" t="s">
        <v>34</v>
      </c>
      <c r="C6" s="13">
        <v>1203322407310</v>
      </c>
      <c r="D6" s="12">
        <v>332240</v>
      </c>
      <c r="E6" s="12">
        <v>1292</v>
      </c>
      <c r="F6" s="1" t="s">
        <v>168</v>
      </c>
      <c r="G6" s="14">
        <v>318302.39</v>
      </c>
      <c r="H6" s="14">
        <v>2164.4562519999999</v>
      </c>
      <c r="I6" s="2">
        <v>46287</v>
      </c>
    </row>
    <row r="7" spans="1:9" ht="15" thickBot="1" x14ac:dyDescent="0.4">
      <c r="A7" s="1" t="s">
        <v>170</v>
      </c>
      <c r="B7" s="12" t="s">
        <v>35</v>
      </c>
      <c r="C7" s="13">
        <v>1703477977310</v>
      </c>
      <c r="D7" s="12">
        <v>347797</v>
      </c>
      <c r="E7" s="12">
        <v>1746</v>
      </c>
      <c r="F7" s="1" t="s">
        <v>168</v>
      </c>
      <c r="G7" s="14">
        <v>466843.5</v>
      </c>
      <c r="H7" s="14">
        <v>3174.5358000000001</v>
      </c>
      <c r="I7" s="2">
        <v>46287</v>
      </c>
    </row>
    <row r="8" spans="1:9" ht="15" thickBot="1" x14ac:dyDescent="0.4">
      <c r="A8" s="1" t="s">
        <v>170</v>
      </c>
      <c r="B8" s="12" t="s">
        <v>36</v>
      </c>
      <c r="C8" s="13">
        <v>5603480417316</v>
      </c>
      <c r="D8" s="12">
        <v>348041</v>
      </c>
      <c r="E8" s="12">
        <v>5633</v>
      </c>
      <c r="F8" s="1" t="s">
        <v>168</v>
      </c>
      <c r="G8" s="14">
        <v>233421.75</v>
      </c>
      <c r="H8" s="14">
        <v>1587.2679000000001</v>
      </c>
      <c r="I8" s="2">
        <v>46287</v>
      </c>
    </row>
    <row r="9" spans="1:9" ht="15" thickBot="1" x14ac:dyDescent="0.4">
      <c r="A9" s="1" t="s">
        <v>170</v>
      </c>
      <c r="B9" s="12" t="s">
        <v>37</v>
      </c>
      <c r="C9" s="13">
        <v>1303452847311</v>
      </c>
      <c r="D9" s="12">
        <v>345284</v>
      </c>
      <c r="E9" s="12">
        <v>2074</v>
      </c>
      <c r="F9" s="1" t="s">
        <v>168</v>
      </c>
      <c r="G9" s="14">
        <v>350132.63</v>
      </c>
      <c r="H9" s="14">
        <v>2380.9018839999999</v>
      </c>
      <c r="I9" s="2">
        <v>46287</v>
      </c>
    </row>
    <row r="10" spans="1:9" ht="15" thickBot="1" x14ac:dyDescent="0.4">
      <c r="A10" s="1" t="s">
        <v>170</v>
      </c>
      <c r="B10" s="12" t="s">
        <v>38</v>
      </c>
      <c r="C10" s="13">
        <v>1903478107318</v>
      </c>
      <c r="D10" s="12">
        <v>347810</v>
      </c>
      <c r="E10" s="12">
        <v>1980</v>
      </c>
      <c r="F10" s="1" t="s">
        <v>168</v>
      </c>
      <c r="G10" s="14">
        <v>233421.75</v>
      </c>
      <c r="H10" s="14">
        <v>1587.2679000000001</v>
      </c>
      <c r="I10" s="2">
        <v>46287</v>
      </c>
    </row>
    <row r="11" spans="1:9" ht="15" thickBot="1" x14ac:dyDescent="0.4">
      <c r="A11" s="1" t="s">
        <v>170</v>
      </c>
      <c r="B11" s="12" t="s">
        <v>39</v>
      </c>
      <c r="C11" s="13">
        <v>1903478967317</v>
      </c>
      <c r="D11" s="12">
        <v>347896</v>
      </c>
      <c r="E11" s="12">
        <v>1980</v>
      </c>
      <c r="F11" s="1" t="s">
        <v>168</v>
      </c>
      <c r="G11" s="14">
        <v>583554.38</v>
      </c>
      <c r="H11" s="14">
        <v>3968.1697840000002</v>
      </c>
      <c r="I11" s="2">
        <v>46287</v>
      </c>
    </row>
    <row r="12" spans="1:9" ht="15" thickBot="1" x14ac:dyDescent="0.4">
      <c r="A12" s="1" t="s">
        <v>170</v>
      </c>
      <c r="B12" s="12" t="s">
        <v>40</v>
      </c>
      <c r="C12" s="13">
        <v>1903480797318</v>
      </c>
      <c r="D12" s="12">
        <v>348079</v>
      </c>
      <c r="E12" s="12">
        <v>1980</v>
      </c>
      <c r="F12" s="1" t="s">
        <v>168</v>
      </c>
      <c r="G12" s="14">
        <v>233421.75</v>
      </c>
      <c r="H12" s="14">
        <v>1587.2679000000001</v>
      </c>
      <c r="I12" s="2">
        <v>46287</v>
      </c>
    </row>
    <row r="13" spans="1:9" ht="15" thickBot="1" x14ac:dyDescent="0.4">
      <c r="A13" s="1" t="s">
        <v>170</v>
      </c>
      <c r="B13" s="12" t="s">
        <v>41</v>
      </c>
      <c r="C13" s="13">
        <v>1503482317317</v>
      </c>
      <c r="D13" s="12">
        <v>348231</v>
      </c>
      <c r="E13" s="12">
        <v>1578</v>
      </c>
      <c r="F13" s="1" t="s">
        <v>168</v>
      </c>
      <c r="G13" s="14">
        <v>116710.88</v>
      </c>
      <c r="H13" s="14">
        <v>793.63398400000005</v>
      </c>
      <c r="I13" s="2">
        <v>46287</v>
      </c>
    </row>
    <row r="14" spans="1:9" ht="15" thickBot="1" x14ac:dyDescent="0.4">
      <c r="A14" s="1" t="s">
        <v>170</v>
      </c>
      <c r="B14" s="12" t="s">
        <v>42</v>
      </c>
      <c r="C14" s="13">
        <v>2003481247318</v>
      </c>
      <c r="D14" s="12">
        <v>348124</v>
      </c>
      <c r="E14" s="12">
        <v>2029</v>
      </c>
      <c r="F14" s="1" t="s">
        <v>168</v>
      </c>
      <c r="G14" s="14">
        <v>175066.31</v>
      </c>
      <c r="H14" s="14">
        <v>1190.450908</v>
      </c>
      <c r="I14" s="2">
        <v>46287</v>
      </c>
    </row>
    <row r="15" spans="1:9" ht="15" thickBot="1" x14ac:dyDescent="0.4">
      <c r="A15" s="1" t="s">
        <v>170</v>
      </c>
      <c r="B15" s="12" t="s">
        <v>43</v>
      </c>
      <c r="C15" s="13">
        <v>5702492917317</v>
      </c>
      <c r="D15" s="12">
        <v>249291</v>
      </c>
      <c r="E15" s="12">
        <v>5724</v>
      </c>
      <c r="F15" s="1" t="s">
        <v>168</v>
      </c>
      <c r="G15" s="14">
        <v>233421.75</v>
      </c>
      <c r="H15" s="14">
        <v>1587.2679000000001</v>
      </c>
      <c r="I15" s="2">
        <v>46287</v>
      </c>
    </row>
    <row r="16" spans="1:9" ht="15" thickBot="1" x14ac:dyDescent="0.4">
      <c r="A16" s="1" t="s">
        <v>170</v>
      </c>
      <c r="B16" s="12" t="s">
        <v>44</v>
      </c>
      <c r="C16" s="13">
        <v>1503482087311</v>
      </c>
      <c r="D16" s="12">
        <v>348208</v>
      </c>
      <c r="E16" s="12">
        <v>1577</v>
      </c>
      <c r="F16" s="1" t="s">
        <v>168</v>
      </c>
      <c r="G16" s="14">
        <v>175066.31</v>
      </c>
      <c r="H16" s="14">
        <v>1190.450908</v>
      </c>
      <c r="I16" s="2">
        <v>46287</v>
      </c>
    </row>
    <row r="17" spans="1:9" ht="15" thickBot="1" x14ac:dyDescent="0.4">
      <c r="A17" s="1" t="s">
        <v>170</v>
      </c>
      <c r="B17" s="12" t="s">
        <v>45</v>
      </c>
      <c r="C17" s="13">
        <v>5603480497311</v>
      </c>
      <c r="D17" s="12">
        <v>348049</v>
      </c>
      <c r="E17" s="12">
        <v>5633</v>
      </c>
      <c r="F17" s="1" t="s">
        <v>168</v>
      </c>
      <c r="G17" s="14">
        <v>175066.31</v>
      </c>
      <c r="H17" s="14">
        <v>1190.450908</v>
      </c>
      <c r="I17" s="2">
        <v>46287</v>
      </c>
    </row>
    <row r="18" spans="1:9" ht="15" thickBot="1" x14ac:dyDescent="0.4">
      <c r="A18" s="1" t="s">
        <v>170</v>
      </c>
      <c r="B18" s="12" t="s">
        <v>46</v>
      </c>
      <c r="C18" s="13">
        <v>1903479047319</v>
      </c>
      <c r="D18" s="12">
        <v>347904</v>
      </c>
      <c r="E18" s="12">
        <v>1990</v>
      </c>
      <c r="F18" s="1" t="s">
        <v>168</v>
      </c>
      <c r="G18" s="14">
        <v>466843.5</v>
      </c>
      <c r="H18" s="14">
        <v>3174.5358000000001</v>
      </c>
      <c r="I18" s="2">
        <v>46287</v>
      </c>
    </row>
    <row r="19" spans="1:9" ht="15" thickBot="1" x14ac:dyDescent="0.4">
      <c r="A19" s="1" t="s">
        <v>170</v>
      </c>
      <c r="B19" s="12" t="s">
        <v>47</v>
      </c>
      <c r="C19" s="13">
        <v>1303481597318</v>
      </c>
      <c r="D19" s="12">
        <v>348159</v>
      </c>
      <c r="E19" s="12">
        <v>1375</v>
      </c>
      <c r="F19" s="1" t="s">
        <v>168</v>
      </c>
      <c r="G19" s="14">
        <v>291777.19</v>
      </c>
      <c r="H19" s="14">
        <v>1984.0848920000001</v>
      </c>
      <c r="I19" s="2">
        <v>46287</v>
      </c>
    </row>
    <row r="20" spans="1:9" ht="15" thickBot="1" x14ac:dyDescent="0.4">
      <c r="A20" s="1" t="s">
        <v>170</v>
      </c>
      <c r="B20" s="12" t="s">
        <v>48</v>
      </c>
      <c r="C20" s="13">
        <v>1103480037310</v>
      </c>
      <c r="D20" s="12">
        <v>348003</v>
      </c>
      <c r="E20" s="12">
        <v>1190</v>
      </c>
      <c r="F20" s="1" t="s">
        <v>168</v>
      </c>
      <c r="G20" s="14">
        <v>933687</v>
      </c>
      <c r="H20" s="14">
        <v>6349.0716000000002</v>
      </c>
      <c r="I20" s="2">
        <v>46287</v>
      </c>
    </row>
    <row r="21" spans="1:9" ht="15" thickBot="1" x14ac:dyDescent="0.4">
      <c r="A21" s="1" t="s">
        <v>170</v>
      </c>
      <c r="B21" s="12" t="s">
        <v>49</v>
      </c>
      <c r="C21" s="13">
        <v>5303479547311</v>
      </c>
      <c r="D21" s="12">
        <v>347954</v>
      </c>
      <c r="E21" s="12">
        <v>5384</v>
      </c>
      <c r="F21" s="1" t="s">
        <v>168</v>
      </c>
      <c r="G21" s="14">
        <v>116710.88</v>
      </c>
      <c r="H21" s="14">
        <v>793.63398400000005</v>
      </c>
      <c r="I21" s="2">
        <v>46287</v>
      </c>
    </row>
    <row r="22" spans="1:9" ht="15" thickBot="1" x14ac:dyDescent="0.4">
      <c r="A22" s="1" t="s">
        <v>170</v>
      </c>
      <c r="B22" s="12" t="s">
        <v>50</v>
      </c>
      <c r="C22" s="13">
        <v>1901049957318</v>
      </c>
      <c r="D22" s="12">
        <v>104995</v>
      </c>
      <c r="E22" s="12">
        <v>1991</v>
      </c>
      <c r="F22" s="1" t="s">
        <v>168</v>
      </c>
      <c r="G22" s="14">
        <v>350132.63</v>
      </c>
      <c r="H22" s="14">
        <v>2380.9018839999999</v>
      </c>
      <c r="I22" s="2">
        <v>46287</v>
      </c>
    </row>
    <row r="23" spans="1:9" ht="15" thickBot="1" x14ac:dyDescent="0.4">
      <c r="A23" s="1" t="s">
        <v>170</v>
      </c>
      <c r="B23" s="12" t="s">
        <v>51</v>
      </c>
      <c r="C23" s="13">
        <v>5703479897317</v>
      </c>
      <c r="D23" s="12">
        <v>347989</v>
      </c>
      <c r="E23" s="12">
        <v>5736</v>
      </c>
      <c r="F23" s="1" t="s">
        <v>168</v>
      </c>
      <c r="G23" s="14">
        <v>175066.31</v>
      </c>
      <c r="H23" s="14">
        <v>1190.450908</v>
      </c>
      <c r="I23" s="2">
        <v>46287</v>
      </c>
    </row>
    <row r="24" spans="1:9" ht="15" thickBot="1" x14ac:dyDescent="0.4">
      <c r="A24" s="1" t="s">
        <v>170</v>
      </c>
      <c r="B24" s="12" t="s">
        <v>52</v>
      </c>
      <c r="C24" s="13">
        <v>5703481517313</v>
      </c>
      <c r="D24" s="12">
        <v>348151</v>
      </c>
      <c r="E24" s="12">
        <v>5735</v>
      </c>
      <c r="F24" s="1" t="s">
        <v>168</v>
      </c>
      <c r="G24" s="14">
        <v>175066.31</v>
      </c>
      <c r="H24" s="14">
        <v>1190.450908</v>
      </c>
      <c r="I24" s="2">
        <v>46287</v>
      </c>
    </row>
    <row r="25" spans="1:9" ht="15" thickBot="1" x14ac:dyDescent="0.4">
      <c r="A25" s="1" t="s">
        <v>170</v>
      </c>
      <c r="B25" s="12" t="s">
        <v>53</v>
      </c>
      <c r="C25" s="13">
        <v>1103482167319</v>
      </c>
      <c r="D25" s="12">
        <v>348216</v>
      </c>
      <c r="E25" s="12">
        <v>1121</v>
      </c>
      <c r="F25" s="1" t="s">
        <v>168</v>
      </c>
      <c r="G25" s="14">
        <v>350132.63</v>
      </c>
      <c r="H25" s="14">
        <v>2380.9018839999999</v>
      </c>
      <c r="I25" s="2">
        <v>46287</v>
      </c>
    </row>
    <row r="26" spans="1:9" ht="15" thickBot="1" x14ac:dyDescent="0.4">
      <c r="A26" s="1" t="s">
        <v>170</v>
      </c>
      <c r="B26" s="12" t="s">
        <v>54</v>
      </c>
      <c r="C26" s="13">
        <v>1903483637311</v>
      </c>
      <c r="D26" s="12">
        <v>348363</v>
      </c>
      <c r="E26" s="12">
        <v>1991</v>
      </c>
      <c r="F26" s="1" t="s">
        <v>168</v>
      </c>
      <c r="G26" s="14">
        <v>175066.31</v>
      </c>
      <c r="H26" s="14">
        <v>1190.450908</v>
      </c>
      <c r="I26" s="2">
        <v>46287</v>
      </c>
    </row>
    <row r="27" spans="1:9" ht="15" thickBot="1" x14ac:dyDescent="0.4">
      <c r="A27" s="1" t="s">
        <v>170</v>
      </c>
      <c r="B27" s="12" t="s">
        <v>55</v>
      </c>
      <c r="C27" s="13">
        <v>1803482527319</v>
      </c>
      <c r="D27" s="12">
        <v>348252</v>
      </c>
      <c r="E27" s="12">
        <v>1837</v>
      </c>
      <c r="F27" s="1" t="s">
        <v>168</v>
      </c>
      <c r="G27" s="14">
        <v>291777.19</v>
      </c>
      <c r="H27" s="14">
        <v>1984.0848920000001</v>
      </c>
      <c r="I27" s="2">
        <v>46287</v>
      </c>
    </row>
    <row r="28" spans="1:9" ht="15" thickBot="1" x14ac:dyDescent="0.4">
      <c r="A28" s="1" t="s">
        <v>170</v>
      </c>
      <c r="B28" s="12" t="s">
        <v>56</v>
      </c>
      <c r="C28" s="13">
        <v>1703483327314</v>
      </c>
      <c r="D28" s="12">
        <v>348332</v>
      </c>
      <c r="E28" s="12">
        <v>1739</v>
      </c>
      <c r="F28" s="1" t="s">
        <v>168</v>
      </c>
      <c r="G28" s="14">
        <v>291777.19</v>
      </c>
      <c r="H28" s="14">
        <v>1984.0848920000001</v>
      </c>
      <c r="I28" s="2">
        <v>46287</v>
      </c>
    </row>
    <row r="29" spans="1:9" ht="15" thickBot="1" x14ac:dyDescent="0.4">
      <c r="A29" s="1" t="s">
        <v>170</v>
      </c>
      <c r="B29" s="12" t="s">
        <v>57</v>
      </c>
      <c r="C29" s="13">
        <v>1803482557315</v>
      </c>
      <c r="D29" s="12">
        <v>348255</v>
      </c>
      <c r="E29" s="12">
        <v>1837</v>
      </c>
      <c r="F29" s="1" t="s">
        <v>168</v>
      </c>
      <c r="G29" s="14">
        <v>466843.5</v>
      </c>
      <c r="H29" s="14">
        <v>3174.5358000000001</v>
      </c>
      <c r="I29" s="2">
        <v>46287</v>
      </c>
    </row>
    <row r="30" spans="1:9" ht="15" thickBot="1" x14ac:dyDescent="0.4">
      <c r="A30" s="1" t="s">
        <v>170</v>
      </c>
      <c r="B30" s="12" t="s">
        <v>58</v>
      </c>
      <c r="C30" s="13">
        <v>5603485227310</v>
      </c>
      <c r="D30" s="12">
        <v>348522</v>
      </c>
      <c r="E30" s="12">
        <v>5633</v>
      </c>
      <c r="F30" s="1" t="s">
        <v>168</v>
      </c>
      <c r="G30" s="14">
        <v>116710.88</v>
      </c>
      <c r="H30" s="14">
        <v>793.63398400000005</v>
      </c>
      <c r="I30" s="2">
        <v>46287</v>
      </c>
    </row>
    <row r="31" spans="1:9" ht="15" thickBot="1" x14ac:dyDescent="0.4">
      <c r="A31" s="1" t="s">
        <v>170</v>
      </c>
      <c r="B31" s="12" t="s">
        <v>59</v>
      </c>
      <c r="C31" s="13">
        <v>1702314577312</v>
      </c>
      <c r="D31" s="12">
        <v>231457</v>
      </c>
      <c r="E31" s="12">
        <v>1728</v>
      </c>
      <c r="F31" s="1" t="s">
        <v>168</v>
      </c>
      <c r="G31" s="14">
        <v>233421.75</v>
      </c>
      <c r="H31" s="14">
        <v>1587.2679000000001</v>
      </c>
      <c r="I31" s="2">
        <v>46287</v>
      </c>
    </row>
    <row r="32" spans="1:9" ht="15" thickBot="1" x14ac:dyDescent="0.4">
      <c r="A32" s="1" t="s">
        <v>170</v>
      </c>
      <c r="B32" s="12" t="s">
        <v>60</v>
      </c>
      <c r="C32" s="13">
        <v>1703483357310</v>
      </c>
      <c r="D32" s="12">
        <v>348335</v>
      </c>
      <c r="E32" s="12">
        <v>1724</v>
      </c>
      <c r="F32" s="1" t="s">
        <v>168</v>
      </c>
      <c r="G32" s="14">
        <v>466843.5</v>
      </c>
      <c r="H32" s="14">
        <v>3174.5358000000001</v>
      </c>
      <c r="I32" s="2">
        <v>46287</v>
      </c>
    </row>
    <row r="33" spans="1:9" ht="15" thickBot="1" x14ac:dyDescent="0.4">
      <c r="A33" s="1" t="s">
        <v>170</v>
      </c>
      <c r="B33" s="12" t="s">
        <v>61</v>
      </c>
      <c r="C33" s="13">
        <v>1103479817316</v>
      </c>
      <c r="D33" s="12">
        <v>347981</v>
      </c>
      <c r="E33" s="12">
        <v>1153</v>
      </c>
      <c r="F33" s="1" t="s">
        <v>168</v>
      </c>
      <c r="G33" s="14">
        <v>204244.03</v>
      </c>
      <c r="H33" s="14">
        <v>1388.859404</v>
      </c>
      <c r="I33" s="2">
        <v>46287</v>
      </c>
    </row>
    <row r="34" spans="1:9" ht="15" thickBot="1" x14ac:dyDescent="0.4">
      <c r="A34" s="1" t="s">
        <v>170</v>
      </c>
      <c r="B34" s="12" t="s">
        <v>62</v>
      </c>
      <c r="C34" s="13">
        <v>5703485937317</v>
      </c>
      <c r="D34" s="12">
        <v>348593</v>
      </c>
      <c r="E34" s="12">
        <v>5735</v>
      </c>
      <c r="F34" s="1" t="s">
        <v>168</v>
      </c>
      <c r="G34" s="14">
        <v>175066.31</v>
      </c>
      <c r="H34" s="14">
        <v>1190.450908</v>
      </c>
      <c r="I34" s="2">
        <v>46287</v>
      </c>
    </row>
    <row r="35" spans="1:9" ht="15" thickBot="1" x14ac:dyDescent="0.4">
      <c r="A35" s="1" t="s">
        <v>170</v>
      </c>
      <c r="B35" s="12" t="s">
        <v>63</v>
      </c>
      <c r="C35" s="13">
        <v>5403482357312</v>
      </c>
      <c r="D35" s="12">
        <v>348235</v>
      </c>
      <c r="E35" s="12">
        <v>5472</v>
      </c>
      <c r="F35" s="1" t="s">
        <v>168</v>
      </c>
      <c r="G35" s="14">
        <v>175066.31</v>
      </c>
      <c r="H35" s="14">
        <v>1190.450908</v>
      </c>
      <c r="I35" s="2">
        <v>46287</v>
      </c>
    </row>
    <row r="36" spans="1:9" ht="15" thickBot="1" x14ac:dyDescent="0.4">
      <c r="A36" s="1" t="s">
        <v>170</v>
      </c>
      <c r="B36" s="12" t="s">
        <v>64</v>
      </c>
      <c r="C36" s="13">
        <v>1703484357314</v>
      </c>
      <c r="D36" s="12">
        <v>348435</v>
      </c>
      <c r="E36" s="12">
        <v>1728</v>
      </c>
      <c r="F36" s="1" t="s">
        <v>168</v>
      </c>
      <c r="G36" s="14">
        <v>116710.88</v>
      </c>
      <c r="H36" s="14">
        <v>793.63398400000005</v>
      </c>
      <c r="I36" s="2">
        <v>46287</v>
      </c>
    </row>
    <row r="37" spans="1:9" ht="15" thickBot="1" x14ac:dyDescent="0.4">
      <c r="A37" s="1" t="s">
        <v>170</v>
      </c>
      <c r="B37" s="12" t="s">
        <v>65</v>
      </c>
      <c r="C37" s="13">
        <v>1401769697319</v>
      </c>
      <c r="D37" s="12">
        <v>176969</v>
      </c>
      <c r="E37" s="12">
        <v>1474</v>
      </c>
      <c r="F37" s="1" t="s">
        <v>168</v>
      </c>
      <c r="G37" s="14">
        <v>350132.63</v>
      </c>
      <c r="H37" s="14">
        <v>2380.9018839999999</v>
      </c>
      <c r="I37" s="2">
        <v>46287</v>
      </c>
    </row>
    <row r="38" spans="1:9" ht="15" thickBot="1" x14ac:dyDescent="0.4">
      <c r="A38" s="1" t="s">
        <v>170</v>
      </c>
      <c r="B38" s="12" t="s">
        <v>66</v>
      </c>
      <c r="C38" s="13">
        <v>5703477587310</v>
      </c>
      <c r="D38" s="12">
        <v>347758</v>
      </c>
      <c r="E38" s="12">
        <v>5729</v>
      </c>
      <c r="F38" s="1" t="s">
        <v>168</v>
      </c>
      <c r="G38" s="14">
        <v>233421.75</v>
      </c>
      <c r="H38" s="14">
        <v>1587.2679000000001</v>
      </c>
      <c r="I38" s="2">
        <v>46287</v>
      </c>
    </row>
    <row r="39" spans="1:9" ht="15" thickBot="1" x14ac:dyDescent="0.4">
      <c r="A39" s="1" t="s">
        <v>170</v>
      </c>
      <c r="B39" s="12" t="s">
        <v>67</v>
      </c>
      <c r="C39" s="13">
        <v>5003482297313</v>
      </c>
      <c r="D39" s="12">
        <v>348229</v>
      </c>
      <c r="E39" s="12">
        <v>5085</v>
      </c>
      <c r="F39" s="1" t="s">
        <v>168</v>
      </c>
      <c r="G39" s="14">
        <v>291777.19</v>
      </c>
      <c r="H39" s="14">
        <v>1984.0848920000001</v>
      </c>
      <c r="I39" s="2">
        <v>46287</v>
      </c>
    </row>
    <row r="40" spans="1:9" ht="15" thickBot="1" x14ac:dyDescent="0.4">
      <c r="A40" s="1" t="s">
        <v>170</v>
      </c>
      <c r="B40" s="12" t="s">
        <v>68</v>
      </c>
      <c r="C40" s="13">
        <v>1103482577312</v>
      </c>
      <c r="D40" s="12">
        <v>348257</v>
      </c>
      <c r="E40" s="12">
        <v>1124</v>
      </c>
      <c r="F40" s="1" t="s">
        <v>168</v>
      </c>
      <c r="G40" s="14">
        <v>233421.75</v>
      </c>
      <c r="H40" s="14">
        <v>1587.2679000000001</v>
      </c>
      <c r="I40" s="2">
        <v>46287</v>
      </c>
    </row>
    <row r="41" spans="1:9" ht="15" thickBot="1" x14ac:dyDescent="0.4">
      <c r="A41" s="1" t="s">
        <v>170</v>
      </c>
      <c r="B41" s="12" t="s">
        <v>69</v>
      </c>
      <c r="C41" s="13">
        <v>5303484137310</v>
      </c>
      <c r="D41" s="12">
        <v>348413</v>
      </c>
      <c r="E41" s="12">
        <v>5383</v>
      </c>
      <c r="F41" s="1" t="s">
        <v>168</v>
      </c>
      <c r="G41" s="14">
        <v>350132.63</v>
      </c>
      <c r="H41" s="14">
        <v>2380.9018839999999</v>
      </c>
      <c r="I41" s="2">
        <v>46287</v>
      </c>
    </row>
    <row r="42" spans="1:9" ht="15" thickBot="1" x14ac:dyDescent="0.4">
      <c r="A42" s="1" t="s">
        <v>170</v>
      </c>
      <c r="B42" s="12" t="s">
        <v>70</v>
      </c>
      <c r="C42" s="13">
        <v>5403482197315</v>
      </c>
      <c r="D42" s="12">
        <v>348219</v>
      </c>
      <c r="E42" s="12">
        <v>5430</v>
      </c>
      <c r="F42" s="1" t="s">
        <v>168</v>
      </c>
      <c r="G42" s="14">
        <v>175066.31</v>
      </c>
      <c r="H42" s="14">
        <v>1190.450908</v>
      </c>
      <c r="I42" s="2">
        <v>46287</v>
      </c>
    </row>
    <row r="43" spans="1:9" ht="15" thickBot="1" x14ac:dyDescent="0.4">
      <c r="A43" s="1" t="s">
        <v>170</v>
      </c>
      <c r="B43" s="12" t="s">
        <v>71</v>
      </c>
      <c r="C43" s="13">
        <v>1103484337319</v>
      </c>
      <c r="D43" s="12">
        <v>348433</v>
      </c>
      <c r="E43" s="12">
        <v>1153</v>
      </c>
      <c r="F43" s="1" t="s">
        <v>168</v>
      </c>
      <c r="G43" s="14">
        <v>350132.63</v>
      </c>
      <c r="H43" s="14">
        <v>2380.9018839999999</v>
      </c>
      <c r="I43" s="2">
        <v>46287</v>
      </c>
    </row>
    <row r="44" spans="1:9" ht="15" thickBot="1" x14ac:dyDescent="0.4">
      <c r="A44" s="1" t="s">
        <v>170</v>
      </c>
      <c r="B44" s="12" t="s">
        <v>72</v>
      </c>
      <c r="C44" s="13">
        <v>5403481297316</v>
      </c>
      <c r="D44" s="12">
        <v>348129</v>
      </c>
      <c r="E44" s="12">
        <v>5430</v>
      </c>
      <c r="F44" s="1" t="s">
        <v>168</v>
      </c>
      <c r="G44" s="14">
        <v>350132.63</v>
      </c>
      <c r="H44" s="14">
        <v>2380.9018839999999</v>
      </c>
      <c r="I44" s="2">
        <v>46287</v>
      </c>
    </row>
    <row r="45" spans="1:9" ht="15" thickBot="1" x14ac:dyDescent="0.4">
      <c r="A45" s="1" t="s">
        <v>170</v>
      </c>
      <c r="B45" s="12" t="s">
        <v>73</v>
      </c>
      <c r="C45" s="13">
        <v>1803483457314</v>
      </c>
      <c r="D45" s="12">
        <v>348345</v>
      </c>
      <c r="E45" s="12">
        <v>1836</v>
      </c>
      <c r="F45" s="1" t="s">
        <v>168</v>
      </c>
      <c r="G45" s="14">
        <v>233421.75</v>
      </c>
      <c r="H45" s="14">
        <v>1587.2679000000001</v>
      </c>
      <c r="I45" s="2">
        <v>46287</v>
      </c>
    </row>
    <row r="46" spans="1:9" ht="15" thickBot="1" x14ac:dyDescent="0.4">
      <c r="A46" s="1" t="s">
        <v>170</v>
      </c>
      <c r="B46" s="12" t="s">
        <v>74</v>
      </c>
      <c r="C46" s="13">
        <v>5203484437315</v>
      </c>
      <c r="D46" s="12">
        <v>348443</v>
      </c>
      <c r="E46" s="12">
        <v>5272</v>
      </c>
      <c r="F46" s="1" t="s">
        <v>168</v>
      </c>
      <c r="G46" s="14">
        <v>116710.88</v>
      </c>
      <c r="H46" s="14">
        <v>793.63398400000005</v>
      </c>
      <c r="I46" s="2">
        <v>46287</v>
      </c>
    </row>
    <row r="47" spans="1:9" ht="15" thickBot="1" x14ac:dyDescent="0.4">
      <c r="A47" s="1" t="s">
        <v>170</v>
      </c>
      <c r="B47" s="12" t="s">
        <v>75</v>
      </c>
      <c r="C47" s="13">
        <v>5203484077319</v>
      </c>
      <c r="D47" s="12">
        <v>348407</v>
      </c>
      <c r="E47" s="12">
        <v>5272</v>
      </c>
      <c r="F47" s="1" t="s">
        <v>168</v>
      </c>
      <c r="G47" s="14">
        <v>175066.31</v>
      </c>
      <c r="H47" s="14">
        <v>1190.450908</v>
      </c>
      <c r="I47" s="2">
        <v>46287</v>
      </c>
    </row>
    <row r="48" spans="1:9" ht="15" thickBot="1" x14ac:dyDescent="0.4">
      <c r="A48" s="1" t="s">
        <v>170</v>
      </c>
      <c r="B48" s="12" t="s">
        <v>76</v>
      </c>
      <c r="C48" s="13">
        <v>5303486117317</v>
      </c>
      <c r="D48" s="12">
        <v>348611</v>
      </c>
      <c r="E48" s="12">
        <v>5383</v>
      </c>
      <c r="F48" s="1" t="s">
        <v>168</v>
      </c>
      <c r="G48" s="14">
        <v>175066.31</v>
      </c>
      <c r="H48" s="14">
        <v>1190.450908</v>
      </c>
      <c r="I48" s="2">
        <v>46287</v>
      </c>
    </row>
    <row r="49" spans="1:9" ht="15" thickBot="1" x14ac:dyDescent="0.4">
      <c r="A49" s="1" t="s">
        <v>170</v>
      </c>
      <c r="B49" s="12" t="s">
        <v>77</v>
      </c>
      <c r="C49" s="13">
        <v>1803482127310</v>
      </c>
      <c r="D49" s="12">
        <v>348212</v>
      </c>
      <c r="E49" s="12">
        <v>1836</v>
      </c>
      <c r="F49" s="1" t="s">
        <v>168</v>
      </c>
      <c r="G49" s="14">
        <v>233421.75</v>
      </c>
      <c r="H49" s="14">
        <v>1587.2679000000001</v>
      </c>
      <c r="I49" s="2">
        <v>46287</v>
      </c>
    </row>
    <row r="50" spans="1:9" ht="15" thickBot="1" x14ac:dyDescent="0.4">
      <c r="A50" s="1" t="s">
        <v>170</v>
      </c>
      <c r="B50" s="12" t="s">
        <v>78</v>
      </c>
      <c r="C50" s="13">
        <v>1103389817317</v>
      </c>
      <c r="D50" s="12">
        <v>338981</v>
      </c>
      <c r="E50" s="12">
        <v>1129</v>
      </c>
      <c r="F50" s="1" t="s">
        <v>168</v>
      </c>
      <c r="G50" s="14">
        <v>175066.31</v>
      </c>
      <c r="H50" s="14">
        <v>1190.450908</v>
      </c>
      <c r="I50" s="2">
        <v>46287</v>
      </c>
    </row>
    <row r="51" spans="1:9" ht="15" thickBot="1" x14ac:dyDescent="0.4">
      <c r="A51" s="1" t="s">
        <v>170</v>
      </c>
      <c r="B51" s="12" t="s">
        <v>79</v>
      </c>
      <c r="C51" s="13">
        <v>1103484247311</v>
      </c>
      <c r="D51" s="12">
        <v>348424</v>
      </c>
      <c r="E51" s="12">
        <v>1121</v>
      </c>
      <c r="F51" s="1" t="s">
        <v>168</v>
      </c>
      <c r="G51" s="14">
        <v>175066.31</v>
      </c>
      <c r="H51" s="14">
        <v>1190.450908</v>
      </c>
      <c r="I51" s="2">
        <v>46287</v>
      </c>
    </row>
    <row r="52" spans="1:9" ht="15" thickBot="1" x14ac:dyDescent="0.4">
      <c r="A52" s="1" t="s">
        <v>170</v>
      </c>
      <c r="B52" s="12" t="s">
        <v>80</v>
      </c>
      <c r="C52" s="13">
        <v>5403426737318</v>
      </c>
      <c r="D52" s="12">
        <v>342673</v>
      </c>
      <c r="E52" s="12">
        <v>5471</v>
      </c>
      <c r="F52" s="1" t="s">
        <v>168</v>
      </c>
      <c r="G52" s="14">
        <v>175066.31</v>
      </c>
      <c r="H52" s="14">
        <v>1190.450908</v>
      </c>
      <c r="I52" s="2">
        <v>46287</v>
      </c>
    </row>
    <row r="53" spans="1:9" ht="15" thickBot="1" x14ac:dyDescent="0.4">
      <c r="A53" s="1" t="s">
        <v>170</v>
      </c>
      <c r="B53" s="12" t="s">
        <v>81</v>
      </c>
      <c r="C53" s="13">
        <v>1403481677310</v>
      </c>
      <c r="D53" s="12">
        <v>348167</v>
      </c>
      <c r="E53" s="12">
        <v>1478</v>
      </c>
      <c r="F53" s="1" t="s">
        <v>168</v>
      </c>
      <c r="G53" s="14">
        <v>350132.63</v>
      </c>
      <c r="H53" s="14">
        <v>2380.9018839999999</v>
      </c>
      <c r="I53" s="2">
        <v>46287</v>
      </c>
    </row>
    <row r="54" spans="1:9" ht="15" thickBot="1" x14ac:dyDescent="0.4">
      <c r="A54" s="1" t="s">
        <v>170</v>
      </c>
      <c r="B54" s="12" t="s">
        <v>82</v>
      </c>
      <c r="C54" s="13">
        <v>5703485217314</v>
      </c>
      <c r="D54" s="12">
        <v>348521</v>
      </c>
      <c r="E54" s="12">
        <v>5729</v>
      </c>
      <c r="F54" s="1" t="s">
        <v>168</v>
      </c>
      <c r="G54" s="14">
        <v>291777.19</v>
      </c>
      <c r="H54" s="14">
        <v>1984.0848920000001</v>
      </c>
      <c r="I54" s="2">
        <v>46287</v>
      </c>
    </row>
    <row r="55" spans="1:9" ht="15" thickBot="1" x14ac:dyDescent="0.4">
      <c r="A55" s="1" t="s">
        <v>170</v>
      </c>
      <c r="B55" s="12" t="s">
        <v>83</v>
      </c>
      <c r="C55" s="13">
        <v>5303489047311</v>
      </c>
      <c r="D55" s="12">
        <v>348904</v>
      </c>
      <c r="E55" s="12">
        <v>5384</v>
      </c>
      <c r="F55" s="1" t="s">
        <v>168</v>
      </c>
      <c r="G55" s="14">
        <v>466843.5</v>
      </c>
      <c r="H55" s="14">
        <v>3174.5358000000001</v>
      </c>
      <c r="I55" s="2">
        <v>46287</v>
      </c>
    </row>
    <row r="56" spans="1:9" ht="15" thickBot="1" x14ac:dyDescent="0.4">
      <c r="A56" s="1" t="s">
        <v>170</v>
      </c>
      <c r="B56" s="12" t="s">
        <v>84</v>
      </c>
      <c r="C56" s="13">
        <v>5303488537313</v>
      </c>
      <c r="D56" s="12">
        <v>348853</v>
      </c>
      <c r="E56" s="12">
        <v>5384</v>
      </c>
      <c r="F56" s="1" t="s">
        <v>168</v>
      </c>
      <c r="G56" s="14">
        <v>233421.75</v>
      </c>
      <c r="H56" s="14">
        <v>1587.2679000000001</v>
      </c>
      <c r="I56" s="2">
        <v>46287</v>
      </c>
    </row>
    <row r="57" spans="1:9" ht="15" thickBot="1" x14ac:dyDescent="0.4">
      <c r="A57" s="1" t="s">
        <v>170</v>
      </c>
      <c r="B57" s="12" t="s">
        <v>85</v>
      </c>
      <c r="C57" s="13">
        <v>5603488397314</v>
      </c>
      <c r="D57" s="12">
        <v>348839</v>
      </c>
      <c r="E57" s="12">
        <v>5632</v>
      </c>
      <c r="F57" s="1" t="s">
        <v>168</v>
      </c>
      <c r="G57" s="14">
        <v>583554.38</v>
      </c>
      <c r="H57" s="14">
        <v>3968.1697840000002</v>
      </c>
      <c r="I57" s="2">
        <v>46287</v>
      </c>
    </row>
    <row r="58" spans="1:9" ht="15" thickBot="1" x14ac:dyDescent="0.4">
      <c r="A58" s="1" t="s">
        <v>170</v>
      </c>
      <c r="B58" s="12" t="s">
        <v>86</v>
      </c>
      <c r="C58" s="13">
        <v>1903483677313</v>
      </c>
      <c r="D58" s="12">
        <v>348367</v>
      </c>
      <c r="E58" s="12">
        <v>1991</v>
      </c>
      <c r="F58" s="1" t="s">
        <v>168</v>
      </c>
      <c r="G58" s="14">
        <v>233421.75</v>
      </c>
      <c r="H58" s="14">
        <v>1587.2679000000001</v>
      </c>
      <c r="I58" s="2">
        <v>46287</v>
      </c>
    </row>
    <row r="59" spans="1:9" ht="15" thickBot="1" x14ac:dyDescent="0.4">
      <c r="A59" s="1" t="s">
        <v>170</v>
      </c>
      <c r="B59" s="12" t="s">
        <v>87</v>
      </c>
      <c r="C59" s="13">
        <v>5703486087317</v>
      </c>
      <c r="D59" s="12">
        <v>348608</v>
      </c>
      <c r="E59" s="12">
        <v>5724</v>
      </c>
      <c r="F59" s="1" t="s">
        <v>168</v>
      </c>
      <c r="G59" s="14">
        <v>175066.31</v>
      </c>
      <c r="H59" s="14">
        <v>1190.450908</v>
      </c>
      <c r="I59" s="2">
        <v>46287</v>
      </c>
    </row>
    <row r="60" spans="1:9" ht="15" thickBot="1" x14ac:dyDescent="0.4">
      <c r="A60" s="1" t="s">
        <v>170</v>
      </c>
      <c r="B60" s="12" t="s">
        <v>88</v>
      </c>
      <c r="C60" s="13">
        <v>1201728867327</v>
      </c>
      <c r="D60" s="12">
        <v>172886</v>
      </c>
      <c r="E60" s="12">
        <v>1279</v>
      </c>
      <c r="F60" s="1" t="s">
        <v>168</v>
      </c>
      <c r="G60" s="14">
        <v>350132.63</v>
      </c>
      <c r="H60" s="14">
        <v>2380.9018839999999</v>
      </c>
      <c r="I60" s="2">
        <v>46287</v>
      </c>
    </row>
    <row r="61" spans="1:9" ht="15" thickBot="1" x14ac:dyDescent="0.4">
      <c r="A61" s="1" t="s">
        <v>170</v>
      </c>
      <c r="B61" s="12" t="s">
        <v>89</v>
      </c>
      <c r="C61" s="13">
        <v>5303487687311</v>
      </c>
      <c r="D61" s="12">
        <v>348768</v>
      </c>
      <c r="E61" s="12">
        <v>5329</v>
      </c>
      <c r="F61" s="1" t="s">
        <v>168</v>
      </c>
      <c r="G61" s="14">
        <v>145888.59</v>
      </c>
      <c r="H61" s="14">
        <v>992.04241200000001</v>
      </c>
      <c r="I61" s="2">
        <v>46287</v>
      </c>
    </row>
    <row r="62" spans="1:9" ht="15" thickBot="1" x14ac:dyDescent="0.4">
      <c r="A62" s="1" t="s">
        <v>170</v>
      </c>
      <c r="B62" s="12" t="s">
        <v>90</v>
      </c>
      <c r="C62" s="13">
        <v>1403479957311</v>
      </c>
      <c r="D62" s="12">
        <v>347995</v>
      </c>
      <c r="E62" s="12">
        <v>1474</v>
      </c>
      <c r="F62" s="1" t="s">
        <v>168</v>
      </c>
      <c r="G62" s="14">
        <v>350132.63</v>
      </c>
      <c r="H62" s="14">
        <v>2380.9018839999999</v>
      </c>
      <c r="I62" s="2">
        <v>46287</v>
      </c>
    </row>
    <row r="63" spans="1:9" ht="15" thickBot="1" x14ac:dyDescent="0.4">
      <c r="A63" s="1" t="s">
        <v>170</v>
      </c>
      <c r="B63" s="12" t="s">
        <v>91</v>
      </c>
      <c r="C63" s="13">
        <v>1103488777313</v>
      </c>
      <c r="D63" s="12">
        <v>348877</v>
      </c>
      <c r="E63" s="12">
        <v>1121</v>
      </c>
      <c r="F63" s="1" t="s">
        <v>168</v>
      </c>
      <c r="G63" s="14">
        <v>466843.5</v>
      </c>
      <c r="H63" s="14">
        <v>3174.5358000000001</v>
      </c>
      <c r="I63" s="2">
        <v>46287</v>
      </c>
    </row>
    <row r="64" spans="1:9" ht="15" thickBot="1" x14ac:dyDescent="0.4">
      <c r="A64" s="1" t="s">
        <v>170</v>
      </c>
      <c r="B64" s="12" t="s">
        <v>92</v>
      </c>
      <c r="C64" s="13">
        <v>5003482727318</v>
      </c>
      <c r="D64" s="12">
        <v>348272</v>
      </c>
      <c r="E64" s="12">
        <v>5081</v>
      </c>
      <c r="F64" s="1" t="s">
        <v>168</v>
      </c>
      <c r="G64" s="14">
        <v>116710.88</v>
      </c>
      <c r="H64" s="14">
        <v>793.63398400000005</v>
      </c>
      <c r="I64" s="2">
        <v>46287</v>
      </c>
    </row>
    <row r="65" spans="1:9" ht="15" thickBot="1" x14ac:dyDescent="0.4">
      <c r="A65" s="1" t="s">
        <v>170</v>
      </c>
      <c r="B65" s="12" t="s">
        <v>93</v>
      </c>
      <c r="C65" s="13">
        <v>1703487307318</v>
      </c>
      <c r="D65" s="12">
        <v>348730</v>
      </c>
      <c r="E65" s="12">
        <v>1728</v>
      </c>
      <c r="F65" s="1" t="s">
        <v>168</v>
      </c>
      <c r="G65" s="14">
        <v>145888.59</v>
      </c>
      <c r="H65" s="14">
        <v>992.04241200000001</v>
      </c>
      <c r="I65" s="2">
        <v>46287</v>
      </c>
    </row>
    <row r="66" spans="1:9" ht="15" thickBot="1" x14ac:dyDescent="0.4">
      <c r="A66" s="1" t="s">
        <v>170</v>
      </c>
      <c r="B66" s="12" t="s">
        <v>94</v>
      </c>
      <c r="C66" s="13">
        <v>1403486607310</v>
      </c>
      <c r="D66" s="12">
        <v>348660</v>
      </c>
      <c r="E66" s="12">
        <v>1474</v>
      </c>
      <c r="F66" s="1" t="s">
        <v>168</v>
      </c>
      <c r="G66" s="14">
        <v>700265.25</v>
      </c>
      <c r="H66" s="14">
        <v>4761.8037000000004</v>
      </c>
      <c r="I66" s="2">
        <v>46287</v>
      </c>
    </row>
    <row r="67" spans="1:9" ht="15" thickBot="1" x14ac:dyDescent="0.4">
      <c r="A67" s="1" t="s">
        <v>170</v>
      </c>
      <c r="B67" s="12" t="s">
        <v>95</v>
      </c>
      <c r="C67" s="13">
        <v>5703487077315</v>
      </c>
      <c r="D67" s="12">
        <v>348707</v>
      </c>
      <c r="E67" s="12">
        <v>5735</v>
      </c>
      <c r="F67" s="1" t="s">
        <v>168</v>
      </c>
      <c r="G67" s="14">
        <v>583554.38</v>
      </c>
      <c r="H67" s="14">
        <v>3968.1697840000002</v>
      </c>
      <c r="I67" s="2">
        <v>46287</v>
      </c>
    </row>
    <row r="68" spans="1:9" ht="15" thickBot="1" x14ac:dyDescent="0.4">
      <c r="A68" s="1" t="s">
        <v>170</v>
      </c>
      <c r="B68" s="12" t="s">
        <v>96</v>
      </c>
      <c r="C68" s="13">
        <v>1803486497317</v>
      </c>
      <c r="D68" s="12">
        <v>348649</v>
      </c>
      <c r="E68" s="12">
        <v>1837</v>
      </c>
      <c r="F68" s="1" t="s">
        <v>168</v>
      </c>
      <c r="G68" s="14">
        <v>583554.38</v>
      </c>
      <c r="H68" s="14">
        <v>3968.1697840000002</v>
      </c>
      <c r="I68" s="2">
        <v>46287</v>
      </c>
    </row>
    <row r="69" spans="1:9" ht="15" thickBot="1" x14ac:dyDescent="0.4">
      <c r="A69" s="1" t="s">
        <v>170</v>
      </c>
      <c r="B69" s="12" t="s">
        <v>97</v>
      </c>
      <c r="C69" s="13">
        <v>5203487477318</v>
      </c>
      <c r="D69" s="12">
        <v>348747</v>
      </c>
      <c r="E69" s="12">
        <v>5272</v>
      </c>
      <c r="F69" s="1" t="s">
        <v>168</v>
      </c>
      <c r="G69" s="14">
        <v>408488.06</v>
      </c>
      <c r="H69" s="14">
        <v>2777.7188080000001</v>
      </c>
      <c r="I69" s="2">
        <v>46287</v>
      </c>
    </row>
    <row r="70" spans="1:9" ht="15" thickBot="1" x14ac:dyDescent="0.4">
      <c r="A70" s="1" t="s">
        <v>170</v>
      </c>
      <c r="B70" s="12" t="s">
        <v>98</v>
      </c>
      <c r="C70" s="13">
        <v>5303484867319</v>
      </c>
      <c r="D70" s="12">
        <v>348486</v>
      </c>
      <c r="E70" s="12">
        <v>5379</v>
      </c>
      <c r="F70" s="1" t="s">
        <v>168</v>
      </c>
      <c r="G70" s="14">
        <v>175066.31</v>
      </c>
      <c r="H70" s="14">
        <v>1190.450908</v>
      </c>
      <c r="I70" s="2">
        <v>46287</v>
      </c>
    </row>
    <row r="71" spans="1:9" ht="15" thickBot="1" x14ac:dyDescent="0.4">
      <c r="A71" s="1" t="s">
        <v>170</v>
      </c>
      <c r="B71" s="12" t="s">
        <v>99</v>
      </c>
      <c r="C71" s="13">
        <v>5303484617312</v>
      </c>
      <c r="D71" s="12">
        <v>348461</v>
      </c>
      <c r="E71" s="12">
        <v>5336</v>
      </c>
      <c r="F71" s="1" t="s">
        <v>168</v>
      </c>
      <c r="G71" s="14">
        <v>145888.59</v>
      </c>
      <c r="H71" s="14">
        <v>992.04241200000001</v>
      </c>
      <c r="I71" s="2">
        <v>46287</v>
      </c>
    </row>
    <row r="72" spans="1:9" ht="15" thickBot="1" x14ac:dyDescent="0.4">
      <c r="A72" s="1" t="s">
        <v>170</v>
      </c>
      <c r="B72" s="12" t="s">
        <v>100</v>
      </c>
      <c r="C72" s="13">
        <v>5203487717319</v>
      </c>
      <c r="D72" s="12">
        <v>348771</v>
      </c>
      <c r="E72" s="12">
        <v>5229</v>
      </c>
      <c r="F72" s="1" t="s">
        <v>168</v>
      </c>
      <c r="G72" s="14">
        <v>175066.31</v>
      </c>
      <c r="H72" s="14">
        <v>1190.450908</v>
      </c>
      <c r="I72" s="2">
        <v>46287</v>
      </c>
    </row>
    <row r="73" spans="1:9" ht="15" thickBot="1" x14ac:dyDescent="0.4">
      <c r="A73" s="1" t="s">
        <v>170</v>
      </c>
      <c r="B73" s="12" t="s">
        <v>101</v>
      </c>
      <c r="C73" s="13">
        <v>5403490727311</v>
      </c>
      <c r="D73" s="12">
        <v>349072</v>
      </c>
      <c r="E73" s="12">
        <v>5430</v>
      </c>
      <c r="F73" s="1" t="s">
        <v>168</v>
      </c>
      <c r="G73" s="14">
        <v>291777.19</v>
      </c>
      <c r="H73" s="14">
        <v>1984.0848920000001</v>
      </c>
      <c r="I73" s="2">
        <v>46287</v>
      </c>
    </row>
    <row r="74" spans="1:9" ht="15" thickBot="1" x14ac:dyDescent="0.4">
      <c r="A74" s="1" t="s">
        <v>170</v>
      </c>
      <c r="B74" s="12" t="s">
        <v>102</v>
      </c>
      <c r="C74" s="13">
        <v>5403488997313</v>
      </c>
      <c r="D74" s="12">
        <v>348899</v>
      </c>
      <c r="E74" s="12">
        <v>5430</v>
      </c>
      <c r="F74" s="1" t="s">
        <v>168</v>
      </c>
      <c r="G74" s="14">
        <v>233421.75</v>
      </c>
      <c r="H74" s="14">
        <v>1587.2679000000001</v>
      </c>
      <c r="I74" s="2">
        <v>46287</v>
      </c>
    </row>
    <row r="75" spans="1:9" ht="15" thickBot="1" x14ac:dyDescent="0.4">
      <c r="A75" s="1" t="s">
        <v>170</v>
      </c>
      <c r="B75" s="12" t="s">
        <v>103</v>
      </c>
      <c r="C75" s="13">
        <v>5603491717316</v>
      </c>
      <c r="D75" s="12">
        <v>349171</v>
      </c>
      <c r="E75" s="12">
        <v>5633</v>
      </c>
      <c r="F75" s="1" t="s">
        <v>168</v>
      </c>
      <c r="G75" s="14">
        <v>175066.31</v>
      </c>
      <c r="H75" s="14">
        <v>1190.450908</v>
      </c>
      <c r="I75" s="2">
        <v>46287</v>
      </c>
    </row>
    <row r="76" spans="1:9" ht="15" thickBot="1" x14ac:dyDescent="0.4">
      <c r="A76" s="1" t="s">
        <v>170</v>
      </c>
      <c r="B76" s="12" t="s">
        <v>104</v>
      </c>
      <c r="C76" s="13">
        <v>5603492397315</v>
      </c>
      <c r="D76" s="12">
        <v>349239</v>
      </c>
      <c r="E76" s="12">
        <v>5629</v>
      </c>
      <c r="F76" s="1" t="s">
        <v>168</v>
      </c>
      <c r="G76" s="14">
        <v>175066.31</v>
      </c>
      <c r="H76" s="14">
        <v>1190.450908</v>
      </c>
      <c r="I76" s="2">
        <v>46287</v>
      </c>
    </row>
    <row r="77" spans="1:9" ht="15" thickBot="1" x14ac:dyDescent="0.4">
      <c r="A77" s="1" t="s">
        <v>170</v>
      </c>
      <c r="B77" s="12" t="s">
        <v>105</v>
      </c>
      <c r="C77" s="13">
        <v>5303478287314</v>
      </c>
      <c r="D77" s="12">
        <v>347828</v>
      </c>
      <c r="E77" s="12">
        <v>5378</v>
      </c>
      <c r="F77" s="1" t="s">
        <v>168</v>
      </c>
      <c r="G77" s="14">
        <v>116710.88</v>
      </c>
      <c r="H77" s="14">
        <v>793.63398400000005</v>
      </c>
      <c r="I77" s="2">
        <v>46287</v>
      </c>
    </row>
    <row r="78" spans="1:9" ht="15" thickBot="1" x14ac:dyDescent="0.4">
      <c r="A78" s="1" t="s">
        <v>170</v>
      </c>
      <c r="B78" s="12" t="s">
        <v>106</v>
      </c>
      <c r="C78" s="13">
        <v>2003492077311</v>
      </c>
      <c r="D78" s="12">
        <v>349207</v>
      </c>
      <c r="E78" s="12">
        <v>2029</v>
      </c>
      <c r="F78" s="1" t="s">
        <v>168</v>
      </c>
      <c r="G78" s="14">
        <v>291777.19</v>
      </c>
      <c r="H78" s="14">
        <v>1984.0848920000001</v>
      </c>
      <c r="I78" s="2">
        <v>46287</v>
      </c>
    </row>
    <row r="79" spans="1:9" ht="15" thickBot="1" x14ac:dyDescent="0.4">
      <c r="A79" s="1" t="s">
        <v>170</v>
      </c>
      <c r="B79" s="12" t="s">
        <v>107</v>
      </c>
      <c r="C79" s="13">
        <v>5403486337316</v>
      </c>
      <c r="D79" s="12">
        <v>348633</v>
      </c>
      <c r="E79" s="12">
        <v>5430</v>
      </c>
      <c r="F79" s="1" t="s">
        <v>168</v>
      </c>
      <c r="G79" s="14">
        <v>233421.75</v>
      </c>
      <c r="H79" s="14">
        <v>1587.2679000000001</v>
      </c>
      <c r="I79" s="2">
        <v>46287</v>
      </c>
    </row>
    <row r="80" spans="1:9" ht="15" thickBot="1" x14ac:dyDescent="0.4">
      <c r="A80" s="1" t="s">
        <v>170</v>
      </c>
      <c r="B80" s="12" t="s">
        <v>108</v>
      </c>
      <c r="C80" s="13">
        <v>1303480117312</v>
      </c>
      <c r="D80" s="12">
        <v>348011</v>
      </c>
      <c r="E80" s="12">
        <v>1375</v>
      </c>
      <c r="F80" s="1" t="s">
        <v>168</v>
      </c>
      <c r="G80" s="14">
        <v>175066.31</v>
      </c>
      <c r="H80" s="14">
        <v>1190.450908</v>
      </c>
      <c r="I80" s="2">
        <v>46287</v>
      </c>
    </row>
    <row r="81" spans="1:9" ht="15" thickBot="1" x14ac:dyDescent="0.4">
      <c r="A81" s="1" t="s">
        <v>170</v>
      </c>
      <c r="B81" s="12" t="s">
        <v>109</v>
      </c>
      <c r="C81" s="13">
        <v>5603493297314</v>
      </c>
      <c r="D81" s="12">
        <v>349329</v>
      </c>
      <c r="E81" s="12">
        <v>5629</v>
      </c>
      <c r="F81" s="1" t="s">
        <v>168</v>
      </c>
      <c r="G81" s="14">
        <v>175066.31</v>
      </c>
      <c r="H81" s="14">
        <v>1190.450908</v>
      </c>
      <c r="I81" s="2">
        <v>46287</v>
      </c>
    </row>
    <row r="82" spans="1:9" ht="15" thickBot="1" x14ac:dyDescent="0.4">
      <c r="A82" s="1" t="s">
        <v>170</v>
      </c>
      <c r="B82" s="12" t="s">
        <v>110</v>
      </c>
      <c r="C82" s="13">
        <v>5303485327318</v>
      </c>
      <c r="D82" s="12">
        <v>348532</v>
      </c>
      <c r="E82" s="12">
        <v>5376</v>
      </c>
      <c r="F82" s="1" t="s">
        <v>168</v>
      </c>
      <c r="G82" s="14">
        <v>145888.59</v>
      </c>
      <c r="H82" s="14">
        <v>992.04241200000001</v>
      </c>
      <c r="I82" s="2">
        <v>46287</v>
      </c>
    </row>
    <row r="83" spans="1:9" ht="15" thickBot="1" x14ac:dyDescent="0.4">
      <c r="A83" s="1" t="s">
        <v>170</v>
      </c>
      <c r="B83" s="12" t="s">
        <v>111</v>
      </c>
      <c r="C83" s="13">
        <v>1103486967311</v>
      </c>
      <c r="D83" s="12">
        <v>348696</v>
      </c>
      <c r="E83" s="12">
        <v>1129</v>
      </c>
      <c r="F83" s="1" t="s">
        <v>168</v>
      </c>
      <c r="G83" s="14">
        <v>1167108.75</v>
      </c>
      <c r="H83" s="14">
        <v>7936.3395</v>
      </c>
      <c r="I83" s="2">
        <v>46287</v>
      </c>
    </row>
    <row r="84" spans="1:9" ht="15" thickBot="1" x14ac:dyDescent="0.4">
      <c r="A84" s="1" t="s">
        <v>170</v>
      </c>
      <c r="B84" s="12" t="s">
        <v>112</v>
      </c>
      <c r="C84" s="13">
        <v>5303491787317</v>
      </c>
      <c r="D84" s="12">
        <v>349178</v>
      </c>
      <c r="E84" s="12">
        <v>5382</v>
      </c>
      <c r="F84" s="1" t="s">
        <v>168</v>
      </c>
      <c r="G84" s="14">
        <v>175066.31</v>
      </c>
      <c r="H84" s="14">
        <v>1190.450908</v>
      </c>
      <c r="I84" s="2">
        <v>46287</v>
      </c>
    </row>
    <row r="85" spans="1:9" ht="15" thickBot="1" x14ac:dyDescent="0.4">
      <c r="A85" s="1" t="s">
        <v>170</v>
      </c>
      <c r="B85" s="12" t="s">
        <v>113</v>
      </c>
      <c r="C85" s="13">
        <v>5303446017311</v>
      </c>
      <c r="D85" s="12">
        <v>344601</v>
      </c>
      <c r="E85" s="12">
        <v>5383</v>
      </c>
      <c r="F85" s="1" t="s">
        <v>168</v>
      </c>
      <c r="G85" s="14">
        <v>291777.19</v>
      </c>
      <c r="H85" s="14">
        <v>1984.0848920000001</v>
      </c>
      <c r="I85" s="2">
        <v>46287</v>
      </c>
    </row>
    <row r="86" spans="1:9" ht="15" thickBot="1" x14ac:dyDescent="0.4">
      <c r="A86" s="1" t="s">
        <v>170</v>
      </c>
      <c r="B86" s="12" t="s">
        <v>114</v>
      </c>
      <c r="C86" s="13">
        <v>5303488067317</v>
      </c>
      <c r="D86" s="12">
        <v>348806</v>
      </c>
      <c r="E86" s="12">
        <v>5335</v>
      </c>
      <c r="F86" s="1" t="s">
        <v>168</v>
      </c>
      <c r="G86" s="14">
        <v>145888.59</v>
      </c>
      <c r="H86" s="14">
        <v>992.04241200000001</v>
      </c>
      <c r="I86" s="2">
        <v>46287</v>
      </c>
    </row>
    <row r="87" spans="1:9" ht="15" thickBot="1" x14ac:dyDescent="0.4">
      <c r="A87" s="1" t="s">
        <v>170</v>
      </c>
      <c r="B87" s="12" t="s">
        <v>115</v>
      </c>
      <c r="C87" s="13">
        <v>5303490847316</v>
      </c>
      <c r="D87" s="12">
        <v>349084</v>
      </c>
      <c r="E87" s="12">
        <v>5300</v>
      </c>
      <c r="F87" s="1" t="s">
        <v>168</v>
      </c>
      <c r="G87" s="14">
        <v>145888.59</v>
      </c>
      <c r="H87" s="14">
        <v>992.04241200000001</v>
      </c>
      <c r="I87" s="2">
        <v>46287</v>
      </c>
    </row>
    <row r="88" spans="1:9" ht="15" thickBot="1" x14ac:dyDescent="0.4">
      <c r="A88" s="1" t="s">
        <v>170</v>
      </c>
      <c r="B88" s="12" t="s">
        <v>116</v>
      </c>
      <c r="C88" s="13">
        <v>1103489157319</v>
      </c>
      <c r="D88" s="12">
        <v>348915</v>
      </c>
      <c r="E88" s="12">
        <v>1177</v>
      </c>
      <c r="F88" s="1" t="s">
        <v>168</v>
      </c>
      <c r="G88" s="14">
        <v>291777.19</v>
      </c>
      <c r="H88" s="14">
        <v>1984.0848920000001</v>
      </c>
      <c r="I88" s="2">
        <v>46287</v>
      </c>
    </row>
    <row r="89" spans="1:9" ht="15" thickBot="1" x14ac:dyDescent="0.4">
      <c r="A89" s="1" t="s">
        <v>170</v>
      </c>
      <c r="B89" s="12" t="s">
        <v>117</v>
      </c>
      <c r="C89" s="13">
        <v>5403489997317</v>
      </c>
      <c r="D89" s="12">
        <v>348999</v>
      </c>
      <c r="E89" s="12">
        <v>5472</v>
      </c>
      <c r="F89" s="1" t="s">
        <v>168</v>
      </c>
      <c r="G89" s="14">
        <v>116710.88</v>
      </c>
      <c r="H89" s="14">
        <v>793.63398400000005</v>
      </c>
      <c r="I89" s="2">
        <v>46287</v>
      </c>
    </row>
    <row r="90" spans="1:9" ht="15" thickBot="1" x14ac:dyDescent="0.4">
      <c r="A90" s="1" t="s">
        <v>170</v>
      </c>
      <c r="B90" s="12" t="s">
        <v>118</v>
      </c>
      <c r="C90" s="13">
        <v>5403493137319</v>
      </c>
      <c r="D90" s="12">
        <v>349313</v>
      </c>
      <c r="E90" s="12">
        <v>5472</v>
      </c>
      <c r="F90" s="1" t="s">
        <v>168</v>
      </c>
      <c r="G90" s="14">
        <v>350132.63</v>
      </c>
      <c r="H90" s="14">
        <v>2380.9018839999999</v>
      </c>
      <c r="I90" s="2">
        <v>46287</v>
      </c>
    </row>
    <row r="91" spans="1:9" ht="15" thickBot="1" x14ac:dyDescent="0.4">
      <c r="A91" s="1" t="s">
        <v>170</v>
      </c>
      <c r="B91" s="12" t="s">
        <v>119</v>
      </c>
      <c r="C91" s="13">
        <v>5703480897317</v>
      </c>
      <c r="D91" s="12">
        <v>348089</v>
      </c>
      <c r="E91" s="12">
        <v>5735</v>
      </c>
      <c r="F91" s="1" t="s">
        <v>168</v>
      </c>
      <c r="G91" s="14">
        <v>583554.38</v>
      </c>
      <c r="H91" s="14">
        <v>3968.1697840000002</v>
      </c>
      <c r="I91" s="2">
        <v>46287</v>
      </c>
    </row>
    <row r="92" spans="1:9" ht="15" thickBot="1" x14ac:dyDescent="0.4">
      <c r="A92" s="1" t="s">
        <v>170</v>
      </c>
      <c r="B92" s="12" t="s">
        <v>120</v>
      </c>
      <c r="C92" s="13">
        <v>5603493577317</v>
      </c>
      <c r="D92" s="12">
        <v>349357</v>
      </c>
      <c r="E92" s="12">
        <v>5633</v>
      </c>
      <c r="F92" s="1" t="s">
        <v>168</v>
      </c>
      <c r="G92" s="14">
        <v>583554.38</v>
      </c>
      <c r="H92" s="14">
        <v>3968.1697840000002</v>
      </c>
      <c r="I92" s="2">
        <v>46287</v>
      </c>
    </row>
    <row r="93" spans="1:9" ht="15" thickBot="1" x14ac:dyDescent="0.4">
      <c r="A93" s="1" t="s">
        <v>170</v>
      </c>
      <c r="B93" s="12" t="s">
        <v>121</v>
      </c>
      <c r="C93" s="13">
        <v>1103488867312</v>
      </c>
      <c r="D93" s="12">
        <v>348886</v>
      </c>
      <c r="E93" s="12">
        <v>1190</v>
      </c>
      <c r="F93" s="1" t="s">
        <v>168</v>
      </c>
      <c r="G93" s="14">
        <v>175066.31</v>
      </c>
      <c r="H93" s="14">
        <v>1190.450908</v>
      </c>
      <c r="I93" s="2">
        <v>46287</v>
      </c>
    </row>
    <row r="94" spans="1:9" ht="15" thickBot="1" x14ac:dyDescent="0.4">
      <c r="A94" s="1" t="s">
        <v>170</v>
      </c>
      <c r="B94" s="12" t="s">
        <v>122</v>
      </c>
      <c r="C94" s="13">
        <v>5003491827311</v>
      </c>
      <c r="D94" s="12">
        <v>349182</v>
      </c>
      <c r="E94" s="12">
        <v>5083</v>
      </c>
      <c r="F94" s="1" t="s">
        <v>168</v>
      </c>
      <c r="G94" s="14">
        <v>350132.63</v>
      </c>
      <c r="H94" s="14">
        <v>2380.9018839999999</v>
      </c>
      <c r="I94" s="2">
        <v>46287</v>
      </c>
    </row>
    <row r="95" spans="1:9" ht="15" thickBot="1" x14ac:dyDescent="0.4">
      <c r="A95" s="1" t="s">
        <v>170</v>
      </c>
      <c r="B95" s="12" t="s">
        <v>123</v>
      </c>
      <c r="C95" s="13">
        <v>5303490607315</v>
      </c>
      <c r="D95" s="12">
        <v>349060</v>
      </c>
      <c r="E95" s="12">
        <v>5300</v>
      </c>
      <c r="F95" s="1" t="s">
        <v>168</v>
      </c>
      <c r="G95" s="14">
        <v>350132.63</v>
      </c>
      <c r="H95" s="14">
        <v>2380.9018839999999</v>
      </c>
      <c r="I95" s="2">
        <v>46287</v>
      </c>
    </row>
    <row r="96" spans="1:9" ht="15" thickBot="1" x14ac:dyDescent="0.4">
      <c r="A96" s="1" t="s">
        <v>170</v>
      </c>
      <c r="B96" s="12" t="s">
        <v>124</v>
      </c>
      <c r="C96" s="13">
        <v>5003490527314</v>
      </c>
      <c r="D96" s="12">
        <v>349052</v>
      </c>
      <c r="E96" s="12">
        <v>5040</v>
      </c>
      <c r="F96" s="1" t="s">
        <v>168</v>
      </c>
      <c r="G96" s="14">
        <v>875331.56</v>
      </c>
      <c r="H96" s="14">
        <v>5952.2546080000002</v>
      </c>
      <c r="I96" s="2">
        <v>46287</v>
      </c>
    </row>
    <row r="97" spans="1:9" ht="15" thickBot="1" x14ac:dyDescent="0.4">
      <c r="A97" s="1" t="s">
        <v>170</v>
      </c>
      <c r="B97" s="12" t="s">
        <v>125</v>
      </c>
      <c r="C97" s="13">
        <v>1903489977319</v>
      </c>
      <c r="D97" s="12">
        <v>348997</v>
      </c>
      <c r="E97" s="12">
        <v>1991</v>
      </c>
      <c r="F97" s="1" t="s">
        <v>168</v>
      </c>
      <c r="G97" s="14">
        <v>350132.63</v>
      </c>
      <c r="H97" s="14">
        <v>2380.9018839999999</v>
      </c>
      <c r="I97" s="2">
        <v>46287</v>
      </c>
    </row>
    <row r="98" spans="1:9" ht="15" thickBot="1" x14ac:dyDescent="0.4">
      <c r="A98" s="1" t="s">
        <v>170</v>
      </c>
      <c r="B98" s="12" t="s">
        <v>126</v>
      </c>
      <c r="C98" s="13">
        <v>1103480097313</v>
      </c>
      <c r="D98" s="12">
        <v>348009</v>
      </c>
      <c r="E98" s="12">
        <v>1124</v>
      </c>
      <c r="F98" s="1" t="s">
        <v>168</v>
      </c>
      <c r="G98" s="14">
        <v>116710.88</v>
      </c>
      <c r="H98" s="14">
        <v>793.63398400000005</v>
      </c>
      <c r="I98" s="2">
        <v>46287</v>
      </c>
    </row>
    <row r="99" spans="1:9" ht="15" thickBot="1" x14ac:dyDescent="0.4">
      <c r="A99" s="1" t="s">
        <v>170</v>
      </c>
      <c r="B99" s="12" t="s">
        <v>127</v>
      </c>
      <c r="C99" s="13">
        <v>1303491447319</v>
      </c>
      <c r="D99" s="12">
        <v>349144</v>
      </c>
      <c r="E99" s="12">
        <v>1383</v>
      </c>
      <c r="F99" s="1" t="s">
        <v>168</v>
      </c>
      <c r="G99" s="14">
        <v>408488.06</v>
      </c>
      <c r="H99" s="14">
        <v>2777.7188080000001</v>
      </c>
      <c r="I99" s="2">
        <v>46287</v>
      </c>
    </row>
    <row r="100" spans="1:9" ht="15" thickBot="1" x14ac:dyDescent="0.4">
      <c r="A100" s="1" t="s">
        <v>170</v>
      </c>
      <c r="B100" s="12" t="s">
        <v>128</v>
      </c>
      <c r="C100" s="13">
        <v>1103478197314</v>
      </c>
      <c r="D100" s="12">
        <v>347819</v>
      </c>
      <c r="E100" s="12">
        <v>1123</v>
      </c>
      <c r="F100" s="1" t="s">
        <v>168</v>
      </c>
      <c r="G100" s="14">
        <v>350132.63</v>
      </c>
      <c r="H100" s="14">
        <v>2380.9018839999999</v>
      </c>
      <c r="I100" s="2">
        <v>46287</v>
      </c>
    </row>
    <row r="101" spans="1:9" ht="15" thickBot="1" x14ac:dyDescent="0.4">
      <c r="A101" s="1" t="s">
        <v>170</v>
      </c>
      <c r="B101" s="12" t="s">
        <v>129</v>
      </c>
      <c r="C101" s="13">
        <v>5003486757319</v>
      </c>
      <c r="D101" s="12">
        <v>348675</v>
      </c>
      <c r="E101" s="12">
        <v>5086</v>
      </c>
      <c r="F101" s="1" t="s">
        <v>168</v>
      </c>
      <c r="G101" s="14">
        <v>116710.88</v>
      </c>
      <c r="H101" s="14">
        <v>793.63398400000005</v>
      </c>
      <c r="I101" s="2">
        <v>46287</v>
      </c>
    </row>
    <row r="102" spans="1:9" ht="15" thickBot="1" x14ac:dyDescent="0.4">
      <c r="A102" s="1" t="s">
        <v>170</v>
      </c>
      <c r="B102" s="12" t="s">
        <v>130</v>
      </c>
      <c r="C102" s="13">
        <v>5003487817315</v>
      </c>
      <c r="D102" s="12">
        <v>348781</v>
      </c>
      <c r="E102" s="12">
        <v>5081</v>
      </c>
      <c r="F102" s="1" t="s">
        <v>168</v>
      </c>
      <c r="G102" s="14">
        <v>145888.59</v>
      </c>
      <c r="H102" s="14">
        <v>992.04241200000001</v>
      </c>
      <c r="I102" s="2">
        <v>46287</v>
      </c>
    </row>
    <row r="103" spans="1:9" ht="15" thickBot="1" x14ac:dyDescent="0.4">
      <c r="A103" s="1" t="s">
        <v>170</v>
      </c>
      <c r="B103" s="12" t="s">
        <v>131</v>
      </c>
      <c r="C103" s="13">
        <v>1103487857313</v>
      </c>
      <c r="D103" s="12">
        <v>348785</v>
      </c>
      <c r="E103" s="12">
        <v>1190</v>
      </c>
      <c r="F103" s="1" t="s">
        <v>168</v>
      </c>
      <c r="G103" s="14">
        <v>583554.38</v>
      </c>
      <c r="H103" s="14">
        <v>3968.1697840000002</v>
      </c>
      <c r="I103" s="2">
        <v>46287</v>
      </c>
    </row>
    <row r="104" spans="1:9" ht="15" thickBot="1" x14ac:dyDescent="0.4">
      <c r="A104" s="1" t="s">
        <v>170</v>
      </c>
      <c r="B104" s="12" t="s">
        <v>132</v>
      </c>
      <c r="C104" s="13">
        <v>1903476657310</v>
      </c>
      <c r="D104" s="12">
        <v>347665</v>
      </c>
      <c r="E104" s="12">
        <v>1991</v>
      </c>
      <c r="F104" s="1" t="s">
        <v>168</v>
      </c>
      <c r="G104" s="14">
        <v>233421.75</v>
      </c>
      <c r="H104" s="14">
        <v>1587.2679000000001</v>
      </c>
      <c r="I104" s="2">
        <v>46287</v>
      </c>
    </row>
    <row r="105" spans="1:9" ht="15" thickBot="1" x14ac:dyDescent="0.4">
      <c r="A105" s="1" t="s">
        <v>170</v>
      </c>
      <c r="B105" s="12" t="s">
        <v>133</v>
      </c>
      <c r="C105" s="13">
        <v>5403363657312</v>
      </c>
      <c r="D105" s="12">
        <v>336365</v>
      </c>
      <c r="E105" s="12">
        <v>5439</v>
      </c>
      <c r="F105" s="1" t="s">
        <v>168</v>
      </c>
      <c r="G105" s="14">
        <v>116710.88</v>
      </c>
      <c r="H105" s="14">
        <v>793.63398400000005</v>
      </c>
      <c r="I105" s="2">
        <v>46287</v>
      </c>
    </row>
    <row r="106" spans="1:9" ht="15" thickBot="1" x14ac:dyDescent="0.4">
      <c r="A106" s="1" t="s">
        <v>170</v>
      </c>
      <c r="B106" s="12" t="s">
        <v>134</v>
      </c>
      <c r="C106" s="13">
        <v>5003491747318</v>
      </c>
      <c r="D106" s="12">
        <v>349174</v>
      </c>
      <c r="E106" s="12">
        <v>5087</v>
      </c>
      <c r="F106" s="1" t="s">
        <v>168</v>
      </c>
      <c r="G106" s="14">
        <v>116710.88</v>
      </c>
      <c r="H106" s="14">
        <v>793.63398400000005</v>
      </c>
      <c r="I106" s="2">
        <v>46287</v>
      </c>
    </row>
    <row r="107" spans="1:9" ht="15" thickBot="1" x14ac:dyDescent="0.4">
      <c r="A107" s="1" t="s">
        <v>170</v>
      </c>
      <c r="B107" s="12" t="s">
        <v>135</v>
      </c>
      <c r="C107" s="13">
        <v>1203494667310</v>
      </c>
      <c r="D107" s="12">
        <v>349466</v>
      </c>
      <c r="E107" s="12">
        <v>1222</v>
      </c>
      <c r="F107" s="1" t="s">
        <v>168</v>
      </c>
      <c r="G107" s="14">
        <v>408488.06</v>
      </c>
      <c r="H107" s="14">
        <v>2777.7188080000001</v>
      </c>
      <c r="I107" s="2">
        <v>46287</v>
      </c>
    </row>
    <row r="108" spans="1:9" ht="15" thickBot="1" x14ac:dyDescent="0.4">
      <c r="A108" s="1" t="s">
        <v>170</v>
      </c>
      <c r="B108" s="12" t="s">
        <v>136</v>
      </c>
      <c r="C108" s="13">
        <v>1203493857310</v>
      </c>
      <c r="D108" s="12">
        <v>349385</v>
      </c>
      <c r="E108" s="12">
        <v>1289</v>
      </c>
      <c r="F108" s="1" t="s">
        <v>168</v>
      </c>
      <c r="G108" s="14">
        <v>350132.63</v>
      </c>
      <c r="H108" s="14">
        <v>2380.9018839999999</v>
      </c>
      <c r="I108" s="2">
        <v>46287</v>
      </c>
    </row>
    <row r="109" spans="1:9" ht="15" thickBot="1" x14ac:dyDescent="0.4">
      <c r="A109" s="1" t="s">
        <v>170</v>
      </c>
      <c r="B109" s="12" t="s">
        <v>137</v>
      </c>
      <c r="C109" s="13">
        <v>1703485447317</v>
      </c>
      <c r="D109" s="12">
        <v>348544</v>
      </c>
      <c r="E109" s="12">
        <v>1728</v>
      </c>
      <c r="F109" s="1" t="s">
        <v>168</v>
      </c>
      <c r="G109" s="14">
        <v>116710.88</v>
      </c>
      <c r="H109" s="14">
        <v>793.63398400000005</v>
      </c>
      <c r="I109" s="2">
        <v>46287</v>
      </c>
    </row>
    <row r="110" spans="1:9" ht="15" thickBot="1" x14ac:dyDescent="0.4">
      <c r="A110" s="1" t="s">
        <v>170</v>
      </c>
      <c r="B110" s="12" t="s">
        <v>138</v>
      </c>
      <c r="C110" s="13">
        <v>5603485737319</v>
      </c>
      <c r="D110" s="12">
        <v>348573</v>
      </c>
      <c r="E110" s="12">
        <v>5633</v>
      </c>
      <c r="F110" s="1" t="s">
        <v>168</v>
      </c>
      <c r="G110" s="14">
        <v>116710.88</v>
      </c>
      <c r="H110" s="14">
        <v>793.63398400000005</v>
      </c>
      <c r="I110" s="2">
        <v>46287</v>
      </c>
    </row>
    <row r="111" spans="1:9" ht="15" thickBot="1" x14ac:dyDescent="0.4">
      <c r="A111" s="1" t="s">
        <v>170</v>
      </c>
      <c r="B111" s="12" t="s">
        <v>139</v>
      </c>
      <c r="C111" s="13">
        <v>1203493897312</v>
      </c>
      <c r="D111" s="12">
        <v>349389</v>
      </c>
      <c r="E111" s="12">
        <v>1289</v>
      </c>
      <c r="F111" s="1" t="s">
        <v>168</v>
      </c>
      <c r="G111" s="14">
        <v>466843.5</v>
      </c>
      <c r="H111" s="14">
        <v>3174.5358000000001</v>
      </c>
      <c r="I111" s="2">
        <v>46287</v>
      </c>
    </row>
    <row r="112" spans="1:9" ht="15" thickBot="1" x14ac:dyDescent="0.4">
      <c r="A112" s="1" t="s">
        <v>170</v>
      </c>
      <c r="B112" s="12" t="s">
        <v>140</v>
      </c>
      <c r="C112" s="13">
        <v>5303478517311</v>
      </c>
      <c r="D112" s="12">
        <v>347851</v>
      </c>
      <c r="E112" s="12">
        <v>5376</v>
      </c>
      <c r="F112" s="1" t="s">
        <v>168</v>
      </c>
      <c r="G112" s="14">
        <v>116710.88</v>
      </c>
      <c r="H112" s="14">
        <v>793.63398400000005</v>
      </c>
      <c r="I112" s="2">
        <v>46287</v>
      </c>
    </row>
    <row r="113" spans="1:9" ht="15" thickBot="1" x14ac:dyDescent="0.4">
      <c r="A113" s="1" t="s">
        <v>170</v>
      </c>
      <c r="B113" s="12" t="s">
        <v>141</v>
      </c>
      <c r="C113" s="13">
        <v>5703481167312</v>
      </c>
      <c r="D113" s="12">
        <v>348116</v>
      </c>
      <c r="E113" s="12">
        <v>5735</v>
      </c>
      <c r="F113" s="1" t="s">
        <v>168</v>
      </c>
      <c r="G113" s="14">
        <v>466843.5</v>
      </c>
      <c r="H113" s="14">
        <v>3174.5358000000001</v>
      </c>
      <c r="I113" s="2">
        <v>46287</v>
      </c>
    </row>
    <row r="114" spans="1:9" ht="15" thickBot="1" x14ac:dyDescent="0.4">
      <c r="A114" s="1" t="s">
        <v>170</v>
      </c>
      <c r="B114" s="12" t="s">
        <v>142</v>
      </c>
      <c r="C114" s="13">
        <v>1103493837310</v>
      </c>
      <c r="D114" s="12">
        <v>349383</v>
      </c>
      <c r="E114" s="12">
        <v>1121</v>
      </c>
      <c r="F114" s="1" t="s">
        <v>168</v>
      </c>
      <c r="G114" s="14">
        <v>165000</v>
      </c>
      <c r="H114" s="14">
        <v>1122</v>
      </c>
      <c r="I114" s="2">
        <v>46287</v>
      </c>
    </row>
    <row r="115" spans="1:9" ht="15" thickBot="1" x14ac:dyDescent="0.4">
      <c r="A115" s="1" t="s">
        <v>170</v>
      </c>
      <c r="B115" s="12" t="s">
        <v>143</v>
      </c>
      <c r="C115" s="13">
        <v>5303497397316</v>
      </c>
      <c r="D115" s="12">
        <v>349739</v>
      </c>
      <c r="E115" s="12">
        <v>5378</v>
      </c>
      <c r="F115" s="1" t="s">
        <v>168</v>
      </c>
      <c r="G115" s="14">
        <v>175066.31</v>
      </c>
      <c r="H115" s="14">
        <v>1190.450908</v>
      </c>
      <c r="I115" s="2">
        <v>46287</v>
      </c>
    </row>
    <row r="116" spans="1:9" ht="15" thickBot="1" x14ac:dyDescent="0.4">
      <c r="A116" s="1" t="s">
        <v>170</v>
      </c>
      <c r="B116" s="12" t="s">
        <v>144</v>
      </c>
      <c r="C116" s="13">
        <v>5703495537311</v>
      </c>
      <c r="D116" s="12">
        <v>349553</v>
      </c>
      <c r="E116" s="12">
        <v>5735</v>
      </c>
      <c r="F116" s="1" t="s">
        <v>168</v>
      </c>
      <c r="G116" s="14">
        <v>350132.63</v>
      </c>
      <c r="H116" s="14">
        <v>2380.9018839999999</v>
      </c>
      <c r="I116" s="2">
        <v>46287</v>
      </c>
    </row>
    <row r="117" spans="1:9" ht="15" thickBot="1" x14ac:dyDescent="0.4">
      <c r="A117" s="1" t="s">
        <v>170</v>
      </c>
      <c r="B117" s="12" t="s">
        <v>145</v>
      </c>
      <c r="C117" s="13">
        <v>1702324837317</v>
      </c>
      <c r="D117" s="12">
        <v>232483</v>
      </c>
      <c r="E117" s="12">
        <v>1728</v>
      </c>
      <c r="F117" s="1" t="s">
        <v>168</v>
      </c>
      <c r="G117" s="14">
        <v>408488.06</v>
      </c>
      <c r="H117" s="14">
        <v>2777.7188080000001</v>
      </c>
      <c r="I117" s="2">
        <v>46287</v>
      </c>
    </row>
    <row r="118" spans="1:9" ht="15" thickBot="1" x14ac:dyDescent="0.4">
      <c r="A118" s="1" t="s">
        <v>170</v>
      </c>
      <c r="B118" s="12" t="s">
        <v>146</v>
      </c>
      <c r="C118" s="13">
        <v>5303497407311</v>
      </c>
      <c r="D118" s="12">
        <v>349740</v>
      </c>
      <c r="E118" s="12">
        <v>5330</v>
      </c>
      <c r="F118" s="1" t="s">
        <v>168</v>
      </c>
      <c r="G118" s="14">
        <v>116710.88</v>
      </c>
      <c r="H118" s="14">
        <v>793.63398400000005</v>
      </c>
      <c r="I118" s="2">
        <v>46287</v>
      </c>
    </row>
    <row r="119" spans="1:9" ht="15" thickBot="1" x14ac:dyDescent="0.4">
      <c r="A119" s="1" t="s">
        <v>170</v>
      </c>
      <c r="B119" s="12" t="s">
        <v>147</v>
      </c>
      <c r="C119" s="13">
        <v>5303498117317</v>
      </c>
      <c r="D119" s="12">
        <v>349811</v>
      </c>
      <c r="E119" s="12">
        <v>5382</v>
      </c>
      <c r="F119" s="1" t="s">
        <v>168</v>
      </c>
      <c r="G119" s="14">
        <v>175066.31</v>
      </c>
      <c r="H119" s="14">
        <v>1190.450908</v>
      </c>
      <c r="I119" s="2">
        <v>46287</v>
      </c>
    </row>
    <row r="120" spans="1:9" ht="15" thickBot="1" x14ac:dyDescent="0.4">
      <c r="A120" s="1" t="s">
        <v>170</v>
      </c>
      <c r="B120" s="12" t="s">
        <v>148</v>
      </c>
      <c r="C120" s="13">
        <v>5003496297310</v>
      </c>
      <c r="D120" s="12">
        <v>349629</v>
      </c>
      <c r="E120" s="12">
        <v>5085</v>
      </c>
      <c r="F120" s="1" t="s">
        <v>168</v>
      </c>
      <c r="G120" s="14">
        <v>291777.19</v>
      </c>
      <c r="H120" s="14">
        <v>1984.0848920000001</v>
      </c>
      <c r="I120" s="2">
        <v>46287</v>
      </c>
    </row>
    <row r="121" spans="1:9" ht="15" thickBot="1" x14ac:dyDescent="0.4">
      <c r="A121" s="1" t="s">
        <v>170</v>
      </c>
      <c r="B121" s="12" t="s">
        <v>149</v>
      </c>
      <c r="C121" s="13">
        <v>1703422357310</v>
      </c>
      <c r="D121" s="12">
        <v>342235</v>
      </c>
      <c r="E121" s="12">
        <v>1289</v>
      </c>
      <c r="F121" s="1" t="s">
        <v>168</v>
      </c>
      <c r="G121" s="14">
        <v>350132.63</v>
      </c>
      <c r="H121" s="14">
        <v>2380.9018839999999</v>
      </c>
      <c r="I121" s="2">
        <v>46287</v>
      </c>
    </row>
    <row r="122" spans="1:9" ht="15" thickBot="1" x14ac:dyDescent="0.4">
      <c r="A122" s="1" t="s">
        <v>170</v>
      </c>
      <c r="B122" s="12" t="s">
        <v>150</v>
      </c>
      <c r="C122" s="13">
        <v>5303497927315</v>
      </c>
      <c r="D122" s="12">
        <v>349792</v>
      </c>
      <c r="E122" s="12">
        <v>5330</v>
      </c>
      <c r="F122" s="1" t="s">
        <v>168</v>
      </c>
      <c r="G122" s="14">
        <v>116710.88</v>
      </c>
      <c r="H122" s="14">
        <v>793.63398400000005</v>
      </c>
      <c r="I122" s="2">
        <v>46287</v>
      </c>
    </row>
    <row r="123" spans="1:9" ht="15" thickBot="1" x14ac:dyDescent="0.4">
      <c r="A123" s="1" t="s">
        <v>170</v>
      </c>
      <c r="B123" s="12" t="s">
        <v>151</v>
      </c>
      <c r="C123" s="13">
        <v>5003492897313</v>
      </c>
      <c r="D123" s="12">
        <v>349289</v>
      </c>
      <c r="E123" s="12">
        <v>5083</v>
      </c>
      <c r="F123" s="1" t="s">
        <v>168</v>
      </c>
      <c r="G123" s="14">
        <v>583554.38</v>
      </c>
      <c r="H123" s="14">
        <v>3968.1697840000002</v>
      </c>
      <c r="I123" s="2">
        <v>46287</v>
      </c>
    </row>
    <row r="124" spans="1:9" ht="15" thickBot="1" x14ac:dyDescent="0.4">
      <c r="A124" s="1" t="s">
        <v>170</v>
      </c>
      <c r="B124" s="12" t="s">
        <v>152</v>
      </c>
      <c r="C124" s="13">
        <v>5303493927310</v>
      </c>
      <c r="D124" s="12">
        <v>349392</v>
      </c>
      <c r="E124" s="12">
        <v>5382</v>
      </c>
      <c r="F124" s="1" t="s">
        <v>168</v>
      </c>
      <c r="G124" s="14">
        <v>233421.75</v>
      </c>
      <c r="H124" s="14">
        <v>1587.2679000000001</v>
      </c>
      <c r="I124" s="2">
        <v>46287</v>
      </c>
    </row>
    <row r="125" spans="1:9" ht="15" thickBot="1" x14ac:dyDescent="0.4">
      <c r="A125" s="1" t="s">
        <v>170</v>
      </c>
      <c r="B125" s="12" t="s">
        <v>153</v>
      </c>
      <c r="C125" s="13">
        <v>1203496797319</v>
      </c>
      <c r="D125" s="12">
        <v>349679</v>
      </c>
      <c r="E125" s="12">
        <v>1289</v>
      </c>
      <c r="F125" s="1" t="s">
        <v>168</v>
      </c>
      <c r="G125" s="14">
        <v>291777.19</v>
      </c>
      <c r="H125" s="14">
        <v>1984.0848920000001</v>
      </c>
      <c r="I125" s="2">
        <v>46287</v>
      </c>
    </row>
    <row r="126" spans="1:9" ht="15" thickBot="1" x14ac:dyDescent="0.4">
      <c r="A126" s="1" t="s">
        <v>170</v>
      </c>
      <c r="B126" s="12" t="s">
        <v>154</v>
      </c>
      <c r="C126" s="13">
        <v>5003492817311</v>
      </c>
      <c r="D126" s="12">
        <v>349281</v>
      </c>
      <c r="E126" s="12">
        <v>5080</v>
      </c>
      <c r="F126" s="1" t="s">
        <v>168</v>
      </c>
      <c r="G126" s="14">
        <v>116710.88</v>
      </c>
      <c r="H126" s="14">
        <v>793.63398400000005</v>
      </c>
      <c r="I126" s="2">
        <v>46287</v>
      </c>
    </row>
    <row r="127" spans="1:9" ht="15" thickBot="1" x14ac:dyDescent="0.4">
      <c r="A127" s="1" t="s">
        <v>170</v>
      </c>
      <c r="B127" s="12" t="s">
        <v>155</v>
      </c>
      <c r="C127" s="13">
        <v>5603497037317</v>
      </c>
      <c r="D127" s="12">
        <v>349703</v>
      </c>
      <c r="E127" s="12">
        <v>5630</v>
      </c>
      <c r="F127" s="1" t="s">
        <v>168</v>
      </c>
      <c r="G127" s="14">
        <v>350132.63</v>
      </c>
      <c r="H127" s="14">
        <v>2380.9018839999999</v>
      </c>
      <c r="I127" s="2">
        <v>46287</v>
      </c>
    </row>
    <row r="128" spans="1:9" ht="15" thickBot="1" x14ac:dyDescent="0.4">
      <c r="A128" s="1" t="s">
        <v>170</v>
      </c>
      <c r="B128" s="12" t="s">
        <v>156</v>
      </c>
      <c r="C128" s="13">
        <v>5603497657315</v>
      </c>
      <c r="D128" s="12">
        <v>349765</v>
      </c>
      <c r="E128" s="12">
        <v>5630</v>
      </c>
      <c r="F128" s="1" t="s">
        <v>168</v>
      </c>
      <c r="G128" s="14">
        <v>233421.75</v>
      </c>
      <c r="H128" s="14">
        <v>1587.2679000000001</v>
      </c>
      <c r="I128" s="2">
        <v>46287</v>
      </c>
    </row>
    <row r="129" spans="1:9" ht="15" thickBot="1" x14ac:dyDescent="0.4">
      <c r="A129" s="1" t="s">
        <v>170</v>
      </c>
      <c r="B129" s="12" t="s">
        <v>157</v>
      </c>
      <c r="C129" s="13">
        <v>5303496947312</v>
      </c>
      <c r="D129" s="12">
        <v>349694</v>
      </c>
      <c r="E129" s="12">
        <v>5330</v>
      </c>
      <c r="F129" s="1" t="s">
        <v>168</v>
      </c>
      <c r="G129" s="14">
        <v>175066.31</v>
      </c>
      <c r="H129" s="14">
        <v>1190.450908</v>
      </c>
      <c r="I129" s="2">
        <v>46287</v>
      </c>
    </row>
    <row r="130" spans="1:9" ht="15" thickBot="1" x14ac:dyDescent="0.4">
      <c r="A130" s="1" t="s">
        <v>170</v>
      </c>
      <c r="B130" s="12" t="s">
        <v>158</v>
      </c>
      <c r="C130" s="13">
        <v>1103491757311</v>
      </c>
      <c r="D130" s="12">
        <v>349175</v>
      </c>
      <c r="E130" s="12">
        <v>1124</v>
      </c>
      <c r="F130" s="1" t="s">
        <v>168</v>
      </c>
      <c r="G130" s="14">
        <v>291777.19</v>
      </c>
      <c r="H130" s="14">
        <v>1984.0848920000001</v>
      </c>
      <c r="I130" s="2">
        <v>46287</v>
      </c>
    </row>
    <row r="131" spans="1:9" ht="15" thickBot="1" x14ac:dyDescent="0.4">
      <c r="A131" s="1" t="s">
        <v>170</v>
      </c>
      <c r="B131" s="12" t="s">
        <v>159</v>
      </c>
      <c r="C131" s="13">
        <v>1203495267316</v>
      </c>
      <c r="D131" s="12">
        <v>349526</v>
      </c>
      <c r="E131" s="12">
        <v>1289</v>
      </c>
      <c r="F131" s="1" t="s">
        <v>168</v>
      </c>
      <c r="G131" s="14">
        <v>466843.5</v>
      </c>
      <c r="H131" s="14">
        <v>3174.5358000000001</v>
      </c>
      <c r="I131" s="2">
        <v>46287</v>
      </c>
    </row>
    <row r="132" spans="1:9" ht="15" thickBot="1" x14ac:dyDescent="0.4">
      <c r="A132" s="1" t="s">
        <v>170</v>
      </c>
      <c r="B132" s="12" t="s">
        <v>160</v>
      </c>
      <c r="C132" s="13">
        <v>5603497047312</v>
      </c>
      <c r="D132" s="12">
        <v>349704</v>
      </c>
      <c r="E132" s="12">
        <v>5632</v>
      </c>
      <c r="F132" s="1" t="s">
        <v>168</v>
      </c>
      <c r="G132" s="14">
        <v>408488.06</v>
      </c>
      <c r="H132" s="14">
        <v>2777.7188080000001</v>
      </c>
      <c r="I132" s="2">
        <v>46287</v>
      </c>
    </row>
    <row r="133" spans="1:9" ht="15" thickBot="1" x14ac:dyDescent="0.4">
      <c r="A133" s="1" t="s">
        <v>170</v>
      </c>
      <c r="B133" s="12" t="s">
        <v>161</v>
      </c>
      <c r="C133" s="13">
        <v>1103485627310</v>
      </c>
      <c r="D133" s="12">
        <v>348562</v>
      </c>
      <c r="E133" s="12">
        <v>1124</v>
      </c>
      <c r="F133" s="1" t="s">
        <v>168</v>
      </c>
      <c r="G133" s="14">
        <v>116710.88</v>
      </c>
      <c r="H133" s="14">
        <v>793.63398400000005</v>
      </c>
      <c r="I133" s="2">
        <v>46287</v>
      </c>
    </row>
    <row r="134" spans="1:9" ht="15" thickBot="1" x14ac:dyDescent="0.4">
      <c r="A134" s="1" t="s">
        <v>170</v>
      </c>
      <c r="B134" s="12" t="s">
        <v>162</v>
      </c>
      <c r="C134" s="13">
        <v>1103482767316</v>
      </c>
      <c r="D134" s="12">
        <v>348276</v>
      </c>
      <c r="E134" s="12">
        <v>1190</v>
      </c>
      <c r="F134" s="1" t="s">
        <v>168</v>
      </c>
      <c r="G134" s="14">
        <v>233421.75</v>
      </c>
      <c r="H134" s="14">
        <v>1587.2679000000001</v>
      </c>
      <c r="I134" s="2">
        <v>46287</v>
      </c>
    </row>
    <row r="135" spans="1:9" ht="15" thickBot="1" x14ac:dyDescent="0.4">
      <c r="A135" s="1" t="s">
        <v>170</v>
      </c>
      <c r="B135" s="12" t="s">
        <v>163</v>
      </c>
      <c r="C135" s="13">
        <v>5303496937317</v>
      </c>
      <c r="D135" s="12">
        <v>349693</v>
      </c>
      <c r="E135" s="12">
        <v>5330</v>
      </c>
      <c r="F135" s="1" t="s">
        <v>168</v>
      </c>
      <c r="G135" s="14">
        <v>116710.88</v>
      </c>
      <c r="H135" s="14">
        <v>793.63398400000005</v>
      </c>
      <c r="I135" s="2">
        <v>46287</v>
      </c>
    </row>
    <row r="136" spans="1:9" ht="15" thickBot="1" x14ac:dyDescent="0.4">
      <c r="A136" s="1" t="s">
        <v>170</v>
      </c>
      <c r="B136" s="12" t="s">
        <v>164</v>
      </c>
      <c r="C136" s="13">
        <v>1203496637311</v>
      </c>
      <c r="D136" s="12">
        <v>349663</v>
      </c>
      <c r="E136" s="12">
        <v>1289</v>
      </c>
      <c r="F136" s="1" t="s">
        <v>168</v>
      </c>
      <c r="G136" s="14">
        <v>233421.75</v>
      </c>
      <c r="H136" s="14">
        <v>1587.2679000000001</v>
      </c>
      <c r="I136" s="2">
        <v>46287</v>
      </c>
    </row>
    <row r="137" spans="1:9" ht="15" thickBot="1" x14ac:dyDescent="0.4">
      <c r="A137" s="1" t="s">
        <v>170</v>
      </c>
      <c r="B137" s="12" t="s">
        <v>165</v>
      </c>
      <c r="C137" s="13">
        <v>5003492087311</v>
      </c>
      <c r="D137" s="12">
        <v>349208</v>
      </c>
      <c r="E137" s="12">
        <v>5087</v>
      </c>
      <c r="F137" s="1" t="s">
        <v>168</v>
      </c>
      <c r="G137" s="14">
        <v>233421.75</v>
      </c>
      <c r="H137" s="14">
        <v>1587.2679000000001</v>
      </c>
      <c r="I137" s="2">
        <v>46287</v>
      </c>
    </row>
    <row r="138" spans="1:9" ht="15" thickBot="1" x14ac:dyDescent="0.4">
      <c r="A138" s="1" t="s">
        <v>170</v>
      </c>
      <c r="B138" s="12" t="s">
        <v>166</v>
      </c>
      <c r="C138" s="13">
        <v>5303495247317</v>
      </c>
      <c r="D138" s="12">
        <v>349524</v>
      </c>
      <c r="E138" s="12">
        <v>5384</v>
      </c>
      <c r="F138" s="1" t="s">
        <v>168</v>
      </c>
      <c r="G138" s="14">
        <v>116710.88</v>
      </c>
      <c r="H138" s="14">
        <v>793.63398400000005</v>
      </c>
      <c r="I138" s="2">
        <v>46287</v>
      </c>
    </row>
    <row r="139" spans="1:9" ht="15" thickBot="1" x14ac:dyDescent="0.4">
      <c r="A139" s="1" t="s">
        <v>170</v>
      </c>
      <c r="B139" s="12" t="s">
        <v>167</v>
      </c>
      <c r="C139" s="13">
        <v>5203496437315</v>
      </c>
      <c r="D139" s="12">
        <v>349643</v>
      </c>
      <c r="E139" s="12">
        <v>5272</v>
      </c>
      <c r="F139" s="1" t="s">
        <v>168</v>
      </c>
      <c r="G139" s="14">
        <v>408488.06</v>
      </c>
      <c r="H139" s="14">
        <v>2777.7188080000001</v>
      </c>
      <c r="I139" s="2">
        <v>46287</v>
      </c>
    </row>
    <row r="140" spans="1:9" ht="15" thickBot="1" x14ac:dyDescent="0.4">
      <c r="A140" s="1" t="s">
        <v>170</v>
      </c>
      <c r="B140" s="12" t="s">
        <v>32</v>
      </c>
      <c r="C140" s="13">
        <v>1103017427312</v>
      </c>
      <c r="D140" s="12">
        <v>301742</v>
      </c>
      <c r="E140" s="12">
        <v>1182</v>
      </c>
      <c r="F140" s="1" t="s">
        <v>169</v>
      </c>
      <c r="G140">
        <v>3053435.11</v>
      </c>
      <c r="H140" s="14">
        <v>122137.4044</v>
      </c>
      <c r="I140" s="2">
        <v>46287</v>
      </c>
    </row>
    <row r="141" spans="1:9" ht="15" thickBot="1" x14ac:dyDescent="0.4">
      <c r="A141" s="1"/>
      <c r="B141" s="12"/>
      <c r="C141" s="13"/>
      <c r="D141" s="12"/>
      <c r="E141" s="12"/>
      <c r="F141" s="1"/>
      <c r="G141" s="14"/>
      <c r="H141" s="14"/>
      <c r="I141" s="2"/>
    </row>
    <row r="142" spans="1:9" ht="15" thickBot="1" x14ac:dyDescent="0.4">
      <c r="A142" s="1"/>
      <c r="B142" s="12"/>
      <c r="C142" s="13"/>
      <c r="D142" s="12"/>
      <c r="E142" s="12"/>
      <c r="F142" s="1"/>
      <c r="G142" s="14"/>
      <c r="H142" s="14"/>
      <c r="I142" s="2"/>
    </row>
    <row r="143" spans="1:9" ht="15" thickBot="1" x14ac:dyDescent="0.4">
      <c r="A143" s="1"/>
      <c r="B143" s="12"/>
      <c r="C143" s="13"/>
      <c r="D143" s="12"/>
      <c r="E143" s="12"/>
      <c r="F143" s="1"/>
      <c r="G143" s="14"/>
      <c r="H143" s="14"/>
      <c r="I143" s="2"/>
    </row>
    <row r="144" spans="1:9" ht="15" thickBot="1" x14ac:dyDescent="0.4">
      <c r="A144" s="1"/>
      <c r="B144" s="12"/>
      <c r="C144" s="13"/>
      <c r="D144" s="12"/>
      <c r="E144" s="12"/>
      <c r="F144" s="1"/>
      <c r="G144" s="14"/>
      <c r="H144" s="14"/>
      <c r="I144" s="2"/>
    </row>
    <row r="145" spans="1:9" ht="15" thickBot="1" x14ac:dyDescent="0.4">
      <c r="A145" s="1"/>
      <c r="B145" s="12"/>
      <c r="C145" s="13"/>
      <c r="D145" s="12"/>
      <c r="E145" s="12"/>
      <c r="F145" s="1"/>
      <c r="G145" s="14"/>
      <c r="H145" s="14"/>
      <c r="I145" s="2"/>
    </row>
    <row r="146" spans="1:9" ht="15" thickBot="1" x14ac:dyDescent="0.4">
      <c r="A146" s="1"/>
      <c r="B146" s="12"/>
      <c r="C146" s="13"/>
      <c r="D146" s="12"/>
      <c r="E146" s="12"/>
      <c r="F146" s="1"/>
      <c r="G146" s="14"/>
      <c r="H146" s="14"/>
      <c r="I146" s="2"/>
    </row>
    <row r="147" spans="1:9" ht="15" thickBot="1" x14ac:dyDescent="0.4">
      <c r="A147" s="1"/>
      <c r="B147" s="12"/>
      <c r="C147" s="13"/>
      <c r="D147" s="12"/>
      <c r="E147" s="12"/>
      <c r="F147" s="1"/>
      <c r="G147" s="14"/>
      <c r="H147" s="14"/>
      <c r="I147" s="2"/>
    </row>
    <row r="148" spans="1:9" ht="15" thickBot="1" x14ac:dyDescent="0.4">
      <c r="A148" s="1"/>
      <c r="B148" s="12"/>
      <c r="C148" s="13"/>
      <c r="D148" s="12"/>
      <c r="E148" s="12"/>
      <c r="F148" s="1"/>
      <c r="G148" s="14"/>
      <c r="H148" s="14"/>
      <c r="I148" s="2"/>
    </row>
    <row r="149" spans="1:9" ht="15" thickBot="1" x14ac:dyDescent="0.4">
      <c r="A149" s="1"/>
      <c r="B149" s="12"/>
      <c r="C149" s="13"/>
      <c r="D149" s="12"/>
      <c r="E149" s="12"/>
      <c r="F149" s="1"/>
      <c r="G149" s="14"/>
      <c r="H149" s="14"/>
      <c r="I149" s="2"/>
    </row>
    <row r="150" spans="1:9" ht="15" thickBot="1" x14ac:dyDescent="0.4">
      <c r="A150" s="1"/>
      <c r="B150" s="12"/>
      <c r="C150" s="13"/>
      <c r="D150" s="12"/>
      <c r="E150" s="12"/>
      <c r="F150" s="1"/>
      <c r="G150" s="14"/>
      <c r="H150" s="14"/>
      <c r="I150" s="2"/>
    </row>
    <row r="151" spans="1:9" ht="15" thickBot="1" x14ac:dyDescent="0.4">
      <c r="A151" s="1"/>
      <c r="B151" s="12"/>
      <c r="C151" s="13"/>
      <c r="D151" s="12"/>
      <c r="E151" s="12"/>
      <c r="F151" s="1"/>
      <c r="G151" s="14"/>
      <c r="H151" s="14"/>
      <c r="I151" s="2"/>
    </row>
    <row r="152" spans="1:9" ht="15" thickBot="1" x14ac:dyDescent="0.4">
      <c r="A152" s="1"/>
      <c r="B152" s="12"/>
      <c r="C152" s="13"/>
      <c r="D152" s="12"/>
      <c r="E152" s="12"/>
      <c r="F152" s="1"/>
      <c r="G152" s="14"/>
      <c r="H152" s="14"/>
      <c r="I152" s="2"/>
    </row>
    <row r="153" spans="1:9" ht="15" thickBot="1" x14ac:dyDescent="0.4">
      <c r="A153" s="1"/>
      <c r="B153" s="12"/>
      <c r="C153" s="13"/>
      <c r="D153" s="12"/>
      <c r="E153" s="12"/>
      <c r="F153" s="1"/>
      <c r="G153" s="14"/>
      <c r="H153" s="14"/>
      <c r="I153" s="2"/>
    </row>
    <row r="154" spans="1:9" ht="15" thickBot="1" x14ac:dyDescent="0.4">
      <c r="A154" s="1"/>
      <c r="B154" s="12"/>
      <c r="C154" s="13"/>
      <c r="D154" s="12"/>
      <c r="E154" s="12"/>
      <c r="F154" s="1"/>
      <c r="G154" s="14"/>
      <c r="H154" s="14"/>
      <c r="I154" s="2"/>
    </row>
    <row r="155" spans="1:9" ht="15" thickBot="1" x14ac:dyDescent="0.4">
      <c r="A155" s="1"/>
      <c r="B155" s="12"/>
      <c r="C155" s="13"/>
      <c r="D155" s="12"/>
      <c r="E155" s="12"/>
      <c r="F155" s="1"/>
      <c r="G155" s="14"/>
      <c r="H155" s="14"/>
      <c r="I155" s="2"/>
    </row>
    <row r="156" spans="1:9" ht="15" thickBot="1" x14ac:dyDescent="0.4">
      <c r="A156" s="1"/>
      <c r="B156" s="12"/>
      <c r="C156" s="13"/>
      <c r="D156" s="12"/>
      <c r="E156" s="12"/>
      <c r="F156" s="1"/>
      <c r="G156" s="14"/>
      <c r="H156" s="14"/>
      <c r="I156" s="2"/>
    </row>
    <row r="157" spans="1:9" ht="15" thickBot="1" x14ac:dyDescent="0.4">
      <c r="A157" s="1"/>
      <c r="B157" s="12"/>
      <c r="C157" s="13"/>
      <c r="D157" s="12"/>
      <c r="E157" s="12"/>
      <c r="F157" s="1"/>
      <c r="G157" s="14"/>
      <c r="H157" s="14"/>
      <c r="I157" s="2"/>
    </row>
    <row r="158" spans="1:9" ht="15" thickBot="1" x14ac:dyDescent="0.4">
      <c r="A158" s="1"/>
      <c r="B158" s="12"/>
      <c r="C158" s="13"/>
      <c r="D158" s="12"/>
      <c r="E158" s="12"/>
      <c r="F158" s="1"/>
      <c r="G158" s="14"/>
      <c r="H158" s="14"/>
      <c r="I158" s="2"/>
    </row>
    <row r="159" spans="1:9" ht="15" thickBot="1" x14ac:dyDescent="0.4">
      <c r="A159" s="1"/>
      <c r="B159" s="12"/>
      <c r="C159" s="13"/>
      <c r="D159" s="12"/>
      <c r="E159" s="12"/>
      <c r="F159" s="1"/>
      <c r="G159" s="14"/>
      <c r="H159" s="14"/>
      <c r="I159" s="2"/>
    </row>
    <row r="160" spans="1:9" ht="15" thickBot="1" x14ac:dyDescent="0.4">
      <c r="A160" s="1"/>
      <c r="B160" s="12"/>
      <c r="C160" s="13"/>
      <c r="D160" s="12"/>
      <c r="E160" s="12"/>
      <c r="F160" s="1"/>
      <c r="G160" s="14"/>
      <c r="H160" s="14"/>
      <c r="I160" s="2"/>
    </row>
    <row r="161" spans="1:9" ht="15" thickBot="1" x14ac:dyDescent="0.4">
      <c r="A161" s="1"/>
      <c r="B161" s="12"/>
      <c r="C161" s="13"/>
      <c r="D161" s="12"/>
      <c r="E161" s="12"/>
      <c r="F161" s="1"/>
      <c r="G161" s="14"/>
      <c r="H161" s="14"/>
      <c r="I161" s="2"/>
    </row>
    <row r="162" spans="1:9" ht="15" thickBot="1" x14ac:dyDescent="0.4">
      <c r="A162" s="1"/>
      <c r="B162" s="12"/>
      <c r="C162" s="13"/>
      <c r="D162" s="12"/>
      <c r="E162" s="12"/>
      <c r="F162" s="1"/>
      <c r="G162" s="14"/>
      <c r="H162" s="14"/>
      <c r="I162" s="2"/>
    </row>
    <row r="163" spans="1:9" ht="15" thickBot="1" x14ac:dyDescent="0.4">
      <c r="A163" s="1"/>
      <c r="B163" s="12"/>
      <c r="C163" s="13"/>
      <c r="D163" s="12"/>
      <c r="E163" s="12"/>
      <c r="F163" s="1"/>
      <c r="G163" s="14"/>
      <c r="H163" s="14"/>
      <c r="I163" s="2"/>
    </row>
    <row r="164" spans="1:9" ht="15" thickBot="1" x14ac:dyDescent="0.4">
      <c r="A164" s="1"/>
      <c r="B164" s="12"/>
      <c r="C164" s="13"/>
      <c r="D164" s="12"/>
      <c r="E164" s="12"/>
      <c r="F164" s="1"/>
      <c r="G164" s="14"/>
      <c r="H164" s="14"/>
      <c r="I164" s="2"/>
    </row>
    <row r="165" spans="1:9" ht="15" thickBot="1" x14ac:dyDescent="0.4">
      <c r="A165" s="1"/>
      <c r="B165" s="12"/>
      <c r="C165" s="13"/>
      <c r="D165" s="12"/>
      <c r="E165" s="12"/>
      <c r="F165" s="1"/>
      <c r="G165" s="14"/>
      <c r="H165" s="14"/>
      <c r="I165" s="2"/>
    </row>
    <row r="166" spans="1:9" ht="15" thickBot="1" x14ac:dyDescent="0.4">
      <c r="A166" s="1"/>
      <c r="B166" s="12"/>
      <c r="C166" s="13"/>
      <c r="D166" s="12"/>
      <c r="E166" s="12"/>
      <c r="F166" s="1"/>
      <c r="G166" s="14"/>
      <c r="H166" s="14"/>
      <c r="I166" s="2"/>
    </row>
    <row r="167" spans="1:9" ht="15" thickBot="1" x14ac:dyDescent="0.4">
      <c r="A167" s="1"/>
      <c r="B167" s="12"/>
      <c r="C167" s="13"/>
      <c r="D167" s="12"/>
      <c r="E167" s="12"/>
      <c r="F167" s="1"/>
      <c r="G167" s="14"/>
      <c r="H167" s="14"/>
      <c r="I167" s="2"/>
    </row>
    <row r="168" spans="1:9" ht="15" thickBot="1" x14ac:dyDescent="0.4">
      <c r="A168" s="1"/>
      <c r="B168" s="12"/>
      <c r="C168" s="13"/>
      <c r="D168" s="12"/>
      <c r="E168" s="12"/>
      <c r="F168" s="1"/>
      <c r="G168" s="14"/>
      <c r="H168" s="14"/>
      <c r="I168" s="2"/>
    </row>
    <row r="169" spans="1:9" ht="15" thickBot="1" x14ac:dyDescent="0.4">
      <c r="A169" s="1"/>
      <c r="B169" s="12"/>
      <c r="C169" s="13"/>
      <c r="D169" s="12"/>
      <c r="E169" s="12"/>
      <c r="F169" s="1"/>
      <c r="G169" s="14"/>
      <c r="H169" s="14"/>
      <c r="I169" s="2"/>
    </row>
    <row r="170" spans="1:9" ht="15" thickBot="1" x14ac:dyDescent="0.4">
      <c r="A170" s="1"/>
      <c r="B170" s="12"/>
      <c r="C170" s="13"/>
      <c r="D170" s="12"/>
      <c r="E170" s="12"/>
      <c r="F170" s="1"/>
      <c r="G170" s="14"/>
      <c r="H170" s="14"/>
      <c r="I170" s="2"/>
    </row>
    <row r="171" spans="1:9" ht="15" thickBot="1" x14ac:dyDescent="0.4">
      <c r="A171" s="1"/>
      <c r="B171" s="12"/>
      <c r="C171" s="13"/>
      <c r="D171" s="12"/>
      <c r="E171" s="12"/>
      <c r="F171" s="1"/>
      <c r="G171" s="14"/>
      <c r="H171" s="14"/>
      <c r="I171" s="2"/>
    </row>
    <row r="172" spans="1:9" ht="15" thickBot="1" x14ac:dyDescent="0.4">
      <c r="A172" s="1"/>
      <c r="B172" s="12"/>
      <c r="C172" s="13"/>
      <c r="D172" s="12"/>
      <c r="E172" s="12"/>
      <c r="F172" s="1"/>
      <c r="G172" s="14"/>
      <c r="H172" s="14"/>
      <c r="I172" s="2"/>
    </row>
    <row r="173" spans="1:9" ht="15" thickBot="1" x14ac:dyDescent="0.4">
      <c r="A173" s="1"/>
      <c r="B173" s="12"/>
      <c r="C173" s="13"/>
      <c r="D173" s="12"/>
      <c r="E173" s="12"/>
      <c r="F173" s="1"/>
      <c r="G173" s="14"/>
      <c r="H173" s="14"/>
      <c r="I173" s="2"/>
    </row>
    <row r="174" spans="1:9" ht="15" thickBot="1" x14ac:dyDescent="0.4">
      <c r="A174" s="1"/>
      <c r="B174" s="12"/>
      <c r="C174" s="13"/>
      <c r="D174" s="12"/>
      <c r="E174" s="12"/>
      <c r="F174" s="1"/>
      <c r="G174" s="14"/>
      <c r="H174" s="14"/>
      <c r="I174" s="2"/>
    </row>
    <row r="175" spans="1:9" ht="15" thickBot="1" x14ac:dyDescent="0.4">
      <c r="A175" s="1"/>
      <c r="B175" s="12"/>
      <c r="C175" s="13"/>
      <c r="D175" s="12"/>
      <c r="E175" s="12"/>
      <c r="F175" s="1"/>
      <c r="G175" s="14"/>
      <c r="H175" s="14"/>
      <c r="I175" s="2"/>
    </row>
    <row r="176" spans="1:9" ht="15" thickBot="1" x14ac:dyDescent="0.4">
      <c r="A176" s="1"/>
      <c r="B176" s="12"/>
      <c r="C176" s="13"/>
      <c r="D176" s="12"/>
      <c r="E176" s="12"/>
      <c r="F176" s="1"/>
      <c r="G176" s="14"/>
      <c r="H176" s="14"/>
      <c r="I176" s="2"/>
    </row>
    <row r="177" spans="1:9" ht="15" thickBot="1" x14ac:dyDescent="0.4">
      <c r="A177" s="1"/>
      <c r="B177" s="12"/>
      <c r="C177" s="13"/>
      <c r="D177" s="12"/>
      <c r="E177" s="12"/>
      <c r="F177" s="1"/>
      <c r="G177" s="14"/>
      <c r="H177" s="14"/>
      <c r="I177" s="2"/>
    </row>
    <row r="178" spans="1:9" ht="15" thickBot="1" x14ac:dyDescent="0.4">
      <c r="A178" s="1"/>
      <c r="B178" s="12"/>
      <c r="C178" s="13"/>
      <c r="D178" s="12"/>
      <c r="E178" s="12"/>
      <c r="F178" s="1"/>
      <c r="G178" s="14"/>
      <c r="H178" s="14"/>
      <c r="I178" s="2"/>
    </row>
    <row r="179" spans="1:9" ht="15" thickBot="1" x14ac:dyDescent="0.4">
      <c r="A179" s="1"/>
      <c r="B179" s="12"/>
      <c r="C179" s="13"/>
      <c r="D179" s="12"/>
      <c r="E179" s="12"/>
      <c r="F179" s="1"/>
      <c r="G179" s="14"/>
      <c r="H179" s="14"/>
      <c r="I179" s="2"/>
    </row>
    <row r="180" spans="1:9" ht="15" thickBot="1" x14ac:dyDescent="0.4">
      <c r="A180" s="1"/>
      <c r="B180" s="12"/>
      <c r="C180" s="13"/>
      <c r="D180" s="12"/>
      <c r="E180" s="12"/>
      <c r="F180" s="1"/>
      <c r="G180" s="14"/>
      <c r="H180" s="14"/>
      <c r="I180" s="2"/>
    </row>
    <row r="181" spans="1:9" ht="15" thickBot="1" x14ac:dyDescent="0.4">
      <c r="A181" s="1"/>
      <c r="B181" s="12"/>
      <c r="C181" s="13"/>
      <c r="D181" s="12"/>
      <c r="E181" s="12"/>
      <c r="F181" s="1"/>
      <c r="G181" s="14"/>
      <c r="H181" s="14"/>
      <c r="I181" s="2"/>
    </row>
    <row r="182" spans="1:9" ht="15" thickBot="1" x14ac:dyDescent="0.4">
      <c r="A182" s="1"/>
      <c r="B182" s="12"/>
      <c r="C182" s="13"/>
      <c r="D182" s="12"/>
      <c r="E182" s="12"/>
      <c r="F182" s="1"/>
      <c r="G182" s="14"/>
      <c r="H182" s="14"/>
      <c r="I182" s="2"/>
    </row>
    <row r="183" spans="1:9" ht="15" thickBot="1" x14ac:dyDescent="0.4">
      <c r="A183" s="1"/>
      <c r="B183" s="12"/>
      <c r="C183" s="13"/>
      <c r="D183" s="12"/>
      <c r="E183" s="12"/>
      <c r="F183" s="1"/>
      <c r="G183" s="14"/>
      <c r="H183" s="14"/>
      <c r="I183" s="2"/>
    </row>
    <row r="184" spans="1:9" ht="15" thickBot="1" x14ac:dyDescent="0.4">
      <c r="A184" s="1"/>
      <c r="B184" s="12"/>
      <c r="C184" s="13"/>
      <c r="D184" s="12"/>
      <c r="E184" s="12"/>
      <c r="F184" s="1"/>
      <c r="G184" s="14"/>
      <c r="H184" s="14"/>
      <c r="I184" s="2"/>
    </row>
    <row r="185" spans="1:9" ht="15" thickBot="1" x14ac:dyDescent="0.4">
      <c r="A185" s="1"/>
      <c r="B185" s="12"/>
      <c r="C185" s="13"/>
      <c r="D185" s="12"/>
      <c r="E185" s="12"/>
      <c r="F185" s="1"/>
      <c r="G185" s="14"/>
      <c r="H185" s="14"/>
      <c r="I185" s="2"/>
    </row>
    <row r="186" spans="1:9" ht="15" thickBot="1" x14ac:dyDescent="0.4">
      <c r="A186" s="1"/>
      <c r="B186" s="12"/>
      <c r="C186" s="13"/>
      <c r="D186" s="12"/>
      <c r="E186" s="12"/>
      <c r="F186" s="1"/>
      <c r="G186" s="14"/>
      <c r="H186" s="14"/>
      <c r="I186" s="2"/>
    </row>
    <row r="187" spans="1:9" ht="15" thickBot="1" x14ac:dyDescent="0.4">
      <c r="A187" s="1"/>
      <c r="B187" s="12"/>
      <c r="C187" s="13"/>
      <c r="D187" s="12"/>
      <c r="E187" s="12"/>
      <c r="F187" s="1"/>
      <c r="G187" s="14"/>
      <c r="H187" s="14"/>
      <c r="I187" s="2"/>
    </row>
    <row r="188" spans="1:9" ht="15" thickBot="1" x14ac:dyDescent="0.4">
      <c r="A188" s="1"/>
      <c r="B188" s="12"/>
      <c r="C188" s="13"/>
      <c r="D188" s="12"/>
      <c r="E188" s="12"/>
      <c r="F188" s="1"/>
      <c r="G188" s="14"/>
      <c r="H188" s="14"/>
      <c r="I188" s="2"/>
    </row>
    <row r="189" spans="1:9" ht="15" thickBot="1" x14ac:dyDescent="0.4">
      <c r="A189" s="1"/>
      <c r="B189" s="12"/>
      <c r="C189" s="13"/>
      <c r="D189" s="12"/>
      <c r="E189" s="12"/>
      <c r="F189" s="1"/>
      <c r="G189" s="14"/>
      <c r="H189" s="14"/>
      <c r="I189" s="2"/>
    </row>
    <row r="190" spans="1:9" ht="15" thickBot="1" x14ac:dyDescent="0.4">
      <c r="A190" s="1"/>
      <c r="B190" s="12"/>
      <c r="C190" s="13"/>
      <c r="D190" s="12"/>
      <c r="E190" s="12"/>
      <c r="F190" s="1"/>
      <c r="G190" s="14"/>
      <c r="H190" s="14"/>
      <c r="I190" s="2"/>
    </row>
    <row r="191" spans="1:9" ht="15" thickBot="1" x14ac:dyDescent="0.4">
      <c r="A191" s="1"/>
      <c r="B191" s="12"/>
      <c r="C191" s="13"/>
      <c r="D191" s="12"/>
      <c r="E191" s="12"/>
      <c r="F191" s="1"/>
      <c r="G191" s="14"/>
      <c r="H191" s="14"/>
      <c r="I19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tabSelected="1" workbookViewId="0">
      <selection activeCell="D20" sqref="D20"/>
    </sheetView>
  </sheetViews>
  <sheetFormatPr baseColWidth="10" defaultRowHeight="14.5" x14ac:dyDescent="0.35"/>
  <cols>
    <col min="1" max="1" width="32.90625" customWidth="1"/>
    <col min="2" max="2" width="19.54296875" style="6" customWidth="1"/>
    <col min="3" max="3" width="18.36328125" style="6" customWidth="1"/>
    <col min="4" max="4" width="25.08984375" customWidth="1"/>
  </cols>
  <sheetData>
    <row r="1" spans="1:4" x14ac:dyDescent="0.35">
      <c r="A1" s="8" t="s">
        <v>7</v>
      </c>
      <c r="B1" s="9" t="s">
        <v>8</v>
      </c>
      <c r="C1" s="9" t="s">
        <v>9</v>
      </c>
      <c r="D1" s="8" t="s">
        <v>10</v>
      </c>
    </row>
    <row r="2" spans="1:4" x14ac:dyDescent="0.35">
      <c r="A2" s="3" t="s">
        <v>11</v>
      </c>
      <c r="B2" s="5">
        <v>1</v>
      </c>
      <c r="C2" s="5">
        <v>1</v>
      </c>
      <c r="D2" s="3" t="s">
        <v>12</v>
      </c>
    </row>
    <row r="3" spans="1:4" x14ac:dyDescent="0.35">
      <c r="A3" s="3" t="s">
        <v>13</v>
      </c>
      <c r="B3" s="7" t="s">
        <v>14</v>
      </c>
      <c r="C3" s="15">
        <f>COUNT('Vu détail'!D:D)</f>
        <v>139</v>
      </c>
      <c r="D3" s="3" t="s">
        <v>15</v>
      </c>
    </row>
    <row r="4" spans="1:4" x14ac:dyDescent="0.35">
      <c r="A4" s="3" t="s">
        <v>16</v>
      </c>
      <c r="B4" s="7" t="s">
        <v>17</v>
      </c>
      <c r="C4" s="15">
        <f>SUM('Vu détail'!H2:H140)</f>
        <v>454405.78740600019</v>
      </c>
      <c r="D4" s="3" t="s">
        <v>18</v>
      </c>
    </row>
    <row r="5" spans="1:4" x14ac:dyDescent="0.35">
      <c r="A5" s="3" t="s">
        <v>171</v>
      </c>
      <c r="B5" s="7" t="s">
        <v>20</v>
      </c>
      <c r="C5" s="15">
        <f>SUM('Vu détail'!H2:H139)</f>
        <v>332268.38300600019</v>
      </c>
      <c r="D5" s="3" t="s">
        <v>21</v>
      </c>
    </row>
    <row r="6" spans="1:4" ht="29" x14ac:dyDescent="0.35">
      <c r="A6" s="3" t="s">
        <v>19</v>
      </c>
      <c r="B6" s="7" t="s">
        <v>20</v>
      </c>
      <c r="C6" s="15">
        <v>0</v>
      </c>
      <c r="D6" s="3" t="s">
        <v>21</v>
      </c>
    </row>
    <row r="7" spans="1:4" ht="19.5" customHeight="1" x14ac:dyDescent="0.35">
      <c r="A7" s="3" t="s">
        <v>172</v>
      </c>
      <c r="B7" s="7" t="s">
        <v>20</v>
      </c>
      <c r="C7" s="15">
        <f>SUM('Vu détail'!H140)</f>
        <v>122137.4044</v>
      </c>
      <c r="D7" s="3" t="s">
        <v>21</v>
      </c>
    </row>
    <row r="8" spans="1:4" ht="23.5" customHeight="1" x14ac:dyDescent="0.35">
      <c r="A8" s="3" t="s">
        <v>22</v>
      </c>
      <c r="B8" s="4" t="s">
        <v>23</v>
      </c>
      <c r="C8" s="4" t="s">
        <v>24</v>
      </c>
      <c r="D8" s="3" t="s">
        <v>25</v>
      </c>
    </row>
    <row r="9" spans="1:4" x14ac:dyDescent="0.35">
      <c r="A9" s="3" t="s">
        <v>26</v>
      </c>
      <c r="B9" s="7" t="s">
        <v>20</v>
      </c>
      <c r="C9" s="4" t="s">
        <v>27</v>
      </c>
      <c r="D9" s="3" t="s">
        <v>173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Vu détail</vt:lpstr>
      <vt:lpstr>Vu consolidé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Ibou NDIONE</dc:creator>
  <cp:lastModifiedBy>Alpha Abdoul DIALLO</cp:lastModifiedBy>
  <dcterms:created xsi:type="dcterms:W3CDTF">2026-09-21T22:55:23Z</dcterms:created>
  <dcterms:modified xsi:type="dcterms:W3CDTF">2026-09-28T15:57:43Z</dcterms:modified>
</cp:coreProperties>
</file>